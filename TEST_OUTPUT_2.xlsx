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bookViews>
    <workbookView visibility="visible" minimized="0" showHorizontalScroll="1" showVerticalScroll="1" showSheetTabs="1" xWindow="13500" yWindow="0" windowWidth="15300" windowHeight="15600" tabRatio="855" firstSheet="0" activeTab="5" autoFilterDateGrouping="1"/>
  </bookViews>
  <sheets>
    <sheet xmlns:r="http://schemas.openxmlformats.org/officeDocument/2006/relationships" name="JAN" sheetId="1" state="visible" r:id="rId1"/>
    <sheet xmlns:r="http://schemas.openxmlformats.org/officeDocument/2006/relationships" name="FEV" sheetId="2" state="visible" r:id="rId2"/>
    <sheet xmlns:r="http://schemas.openxmlformats.org/officeDocument/2006/relationships" name="MAR" sheetId="3" state="visible" r:id="rId3"/>
    <sheet xmlns:r="http://schemas.openxmlformats.org/officeDocument/2006/relationships" name="ABR" sheetId="4" state="visible" r:id="rId4"/>
    <sheet xmlns:r="http://schemas.openxmlformats.org/officeDocument/2006/relationships" name="MAIO" sheetId="5" state="visible" r:id="rId5"/>
    <sheet xmlns:r="http://schemas.openxmlformats.org/officeDocument/2006/relationships" name="JUN" sheetId="6" state="visible" r:id="rId6"/>
    <sheet xmlns:r="http://schemas.openxmlformats.org/officeDocument/2006/relationships" name="JUL" sheetId="7" state="visible" r:id="rId7"/>
    <sheet xmlns:r="http://schemas.openxmlformats.org/officeDocument/2006/relationships" name="AGO" sheetId="8" state="visible" r:id="rId8"/>
    <sheet xmlns:r="http://schemas.openxmlformats.org/officeDocument/2006/relationships" name="SET" sheetId="9" state="visible" r:id="rId9"/>
    <sheet xmlns:r="http://schemas.openxmlformats.org/officeDocument/2006/relationships" name="OUT" sheetId="10" state="visible" r:id="rId10"/>
    <sheet xmlns:r="http://schemas.openxmlformats.org/officeDocument/2006/relationships" name="NOV" sheetId="11" state="visible" r:id="rId11"/>
    <sheet xmlns:r="http://schemas.openxmlformats.org/officeDocument/2006/relationships" name="DEZ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[h]:mm:ss;@"/>
    <numFmt numFmtId="165" formatCode="dd&quot;d&quot;\ hh&quot;h &quot;mm&quot;m&quot;"/>
    <numFmt numFmtId="166" formatCode="[$-F400]h:mm:ss\ AM/PM"/>
    <numFmt numFmtId="167" formatCode="dddd"/>
    <numFmt numFmtId="168" formatCode="[$-416]mmmm\-yy;@"/>
    <numFmt numFmtId="169" formatCode="hh:mm:ss"/>
  </numFmts>
  <fonts count="34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2"/>
      <scheme val="minor"/>
    </font>
    <font>
      <name val="Agency FB"/>
      <family val="2"/>
      <b val="1"/>
      <color rgb="FFFF0000"/>
      <sz val="18"/>
    </font>
    <font>
      <name val="Calibri"/>
      <family val="2"/>
      <b val="1"/>
      <color rgb="FFFFFF00"/>
      <sz val="11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indexed="12"/>
      <sz val="11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00FF"/>
      <sz val="12"/>
      <scheme val="minor"/>
    </font>
    <font>
      <name val="Calibri"/>
      <family val="2"/>
      <b val="1"/>
      <color rgb="FF0000FF"/>
      <sz val="8"/>
      <scheme val="minor"/>
    </font>
    <font>
      <name val="Calibri"/>
      <family val="2"/>
      <b val="1"/>
      <color rgb="FF0000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2"/>
      <scheme val="minor"/>
    </font>
    <font>
      <name val="Agency FB"/>
      <family val="2"/>
      <b val="1"/>
      <color theme="1"/>
      <sz val="14"/>
    </font>
    <font>
      <name val="Calibri"/>
      <family val="2"/>
      <color theme="1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rgb="FFFFFF00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8"/>
      <scheme val="minor"/>
    </font>
    <font>
      <name val="Cambria"/>
      <family val="1"/>
      <color theme="1"/>
      <sz val="11"/>
      <scheme val="major"/>
    </font>
    <font>
      <name val="Calibri"/>
      <family val="2"/>
      <b val="1"/>
      <color rgb="FFFF0000"/>
      <sz val="10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00FF"/>
      <sz val="11"/>
      <scheme val="minor"/>
    </font>
    <font>
      <name val="Arial"/>
      <family val="2"/>
      <color theme="1"/>
      <sz val="9"/>
    </font>
    <font>
      <name val="Arial"/>
      <family val="2"/>
      <color theme="1"/>
      <sz val="12"/>
    </font>
    <font>
      <name val="Arial"/>
      <family val="2"/>
      <color theme="1"/>
      <sz val="5"/>
    </font>
  </fonts>
  <fills count="6">
    <fill>
      <patternFill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24">
    <xf numFmtId="0" fontId="0" fillId="0" borderId="0" pivotButton="0" quotePrefix="0" xfId="0"/>
    <xf numFmtId="0" fontId="6" fillId="2" borderId="2" pivotButton="0" quotePrefix="0" xfId="0"/>
    <xf numFmtId="0" fontId="1" fillId="2" borderId="4" applyAlignment="1" pivotButton="0" quotePrefix="0" xfId="0">
      <alignment vertical="center"/>
    </xf>
    <xf numFmtId="0" fontId="1" fillId="2" borderId="5" applyAlignment="1" pivotButton="0" quotePrefix="0" xfId="0">
      <alignment vertical="center"/>
    </xf>
    <xf numFmtId="0" fontId="1" fillId="2" borderId="5" pivotButton="0" quotePrefix="0" xfId="0"/>
    <xf numFmtId="0" fontId="3" fillId="2" borderId="5" pivotButton="0" quotePrefix="0" xfId="0"/>
    <xf numFmtId="0" fontId="9" fillId="3" borderId="17" applyAlignment="1" pivotButton="0" quotePrefix="0" xfId="0">
      <alignment horizontal="center" vertical="center" wrapText="1"/>
    </xf>
    <xf numFmtId="0" fontId="9" fillId="3" borderId="19" applyAlignment="1" pivotButton="0" quotePrefix="0" xfId="0">
      <alignment horizontal="center" vertical="center" wrapText="1"/>
    </xf>
    <xf numFmtId="0" fontId="9" fillId="3" borderId="18" applyAlignment="1" pivotButton="0" quotePrefix="0" xfId="0">
      <alignment horizontal="center" vertical="center" wrapText="1"/>
    </xf>
    <xf numFmtId="164" fontId="0" fillId="5" borderId="21" applyAlignment="1" applyProtection="1" pivotButton="0" quotePrefix="0" xfId="0">
      <alignment horizontal="center" vertical="center"/>
      <protection locked="0" hidden="0"/>
    </xf>
    <xf numFmtId="164" fontId="0" fillId="5" borderId="22" applyAlignment="1" applyProtection="1" pivotButton="0" quotePrefix="0" xfId="0">
      <alignment horizontal="center" vertical="center"/>
      <protection locked="0" hidden="0"/>
    </xf>
    <xf numFmtId="164" fontId="0" fillId="5" borderId="23" applyAlignment="1" applyProtection="1" pivotButton="0" quotePrefix="0" xfId="0">
      <alignment horizontal="center" vertical="center"/>
      <protection locked="0" hidden="0"/>
    </xf>
    <xf numFmtId="164" fontId="0" fillId="0" borderId="22" applyAlignment="1" applyProtection="1" pivotButton="0" quotePrefix="0" xfId="0">
      <alignment horizontal="center" vertical="center"/>
      <protection locked="0" hidden="0"/>
    </xf>
    <xf numFmtId="164" fontId="0" fillId="0" borderId="24" applyAlignment="1" applyProtection="1" pivotButton="0" quotePrefix="0" xfId="0">
      <alignment horizontal="center" vertical="center"/>
      <protection locked="0" hidden="0"/>
    </xf>
    <xf numFmtId="164" fontId="13" fillId="0" borderId="25" applyAlignment="1" pivotButton="0" quotePrefix="0" xfId="0">
      <alignment horizontal="center" vertical="center"/>
    </xf>
    <xf numFmtId="164" fontId="13" fillId="5" borderId="18" applyAlignment="1" pivotButton="0" quotePrefix="0" xfId="0">
      <alignment horizontal="center" vertical="center" wrapText="1"/>
    </xf>
    <xf numFmtId="164" fontId="9" fillId="0" borderId="18" applyAlignment="1" pivotButton="0" quotePrefix="0" xfId="0">
      <alignment horizontal="center" vertical="center" wrapText="1"/>
    </xf>
    <xf numFmtId="0" fontId="10" fillId="4" borderId="4" applyAlignment="1" applyProtection="1" pivotButton="0" quotePrefix="0" xfId="0">
      <alignment horizontal="center" vertical="center"/>
      <protection locked="0" hidden="0"/>
    </xf>
    <xf numFmtId="164" fontId="0" fillId="5" borderId="26" applyAlignment="1" applyProtection="1" pivotButton="0" quotePrefix="0" xfId="0">
      <alignment horizontal="center" vertical="center"/>
      <protection locked="0" hidden="0"/>
    </xf>
    <xf numFmtId="164" fontId="0" fillId="5" borderId="27" applyAlignment="1" applyProtection="1" pivotButton="0" quotePrefix="0" xfId="0">
      <alignment horizontal="center" vertical="center"/>
      <protection locked="0" hidden="0"/>
    </xf>
    <xf numFmtId="164" fontId="0" fillId="5" borderId="28" applyAlignment="1" applyProtection="1" pivotButton="0" quotePrefix="0" xfId="0">
      <alignment horizontal="center" vertical="center"/>
      <protection locked="0" hidden="0"/>
    </xf>
    <xf numFmtId="164" fontId="0" fillId="0" borderId="27" applyAlignment="1" applyProtection="1" pivotButton="0" quotePrefix="0" xfId="0">
      <alignment horizontal="center" vertical="center"/>
      <protection locked="0" hidden="0"/>
    </xf>
    <xf numFmtId="164" fontId="0" fillId="0" borderId="29" applyAlignment="1" applyProtection="1" pivotButton="0" quotePrefix="0" xfId="0">
      <alignment horizontal="center" vertical="center"/>
      <protection locked="0" hidden="0"/>
    </xf>
    <xf numFmtId="164" fontId="0" fillId="5" borderId="30" applyAlignment="1" applyProtection="1" pivotButton="0" quotePrefix="0" xfId="0">
      <alignment horizontal="center" vertical="center"/>
      <protection locked="0" hidden="0"/>
    </xf>
    <xf numFmtId="164" fontId="0" fillId="0" borderId="31" applyAlignment="1" applyProtection="1" pivotButton="0" quotePrefix="0" xfId="0">
      <alignment horizontal="center" vertical="center"/>
      <protection locked="0" hidden="0"/>
    </xf>
    <xf numFmtId="164" fontId="0" fillId="0" borderId="32" applyAlignment="1" applyProtection="1" pivotButton="0" quotePrefix="0" xfId="0">
      <alignment horizontal="center" vertical="center"/>
      <protection locked="0" hidden="0"/>
    </xf>
    <xf numFmtId="164" fontId="0" fillId="0" borderId="33" applyAlignment="1" applyProtection="1" pivotButton="0" quotePrefix="0" xfId="0">
      <alignment horizontal="center" vertical="center"/>
      <protection locked="0" hidden="0"/>
    </xf>
    <xf numFmtId="164" fontId="0" fillId="0" borderId="34" applyAlignment="1" applyProtection="1" pivotButton="0" quotePrefix="0" xfId="0">
      <alignment horizontal="center" vertical="center"/>
      <protection locked="0" hidden="0"/>
    </xf>
    <xf numFmtId="164" fontId="14" fillId="5" borderId="27" applyAlignment="1" applyProtection="1" pivotButton="0" quotePrefix="0" xfId="0">
      <alignment horizontal="center" vertical="center"/>
      <protection locked="0" hidden="0"/>
    </xf>
    <xf numFmtId="164" fontId="14" fillId="5" borderId="28" applyAlignment="1" applyProtection="1" pivotButton="0" quotePrefix="0" xfId="0">
      <alignment horizontal="center" vertical="center"/>
      <protection locked="0" hidden="0"/>
    </xf>
    <xf numFmtId="164" fontId="0" fillId="0" borderId="31" applyAlignment="1" applyProtection="1" pivotButton="0" quotePrefix="0" xfId="0">
      <alignment horizontal="left" vertical="center"/>
      <protection locked="0" hidden="0"/>
    </xf>
    <xf numFmtId="164" fontId="0" fillId="0" borderId="33" applyAlignment="1" applyProtection="1" pivotButton="0" quotePrefix="0" xfId="0">
      <alignment horizontal="left" vertical="center"/>
      <protection locked="0" hidden="0"/>
    </xf>
    <xf numFmtId="164" fontId="0" fillId="0" borderId="35" applyAlignment="1" applyProtection="1" pivotButton="0" quotePrefix="0" xfId="0">
      <alignment horizontal="center" vertical="center"/>
      <protection locked="0" hidden="0"/>
    </xf>
    <xf numFmtId="164" fontId="0" fillId="0" borderId="27" applyAlignment="1" applyProtection="1" pivotButton="0" quotePrefix="0" xfId="0">
      <alignment horizontal="left" vertical="center"/>
      <protection locked="0" hidden="0"/>
    </xf>
    <xf numFmtId="164" fontId="0" fillId="0" borderId="17" applyAlignment="1" pivotButton="0" quotePrefix="0" xfId="0">
      <alignment horizontal="center" vertical="center" wrapText="1"/>
    </xf>
    <xf numFmtId="164" fontId="2" fillId="0" borderId="17" applyAlignment="1" pivotButton="0" quotePrefix="0" xfId="0">
      <alignment horizontal="center" vertical="center" wrapText="1"/>
    </xf>
    <xf numFmtId="164" fontId="2" fillId="0" borderId="42" applyAlignment="1" pivotButton="0" quotePrefix="0" xfId="0">
      <alignment horizontal="center" vertical="center"/>
    </xf>
    <xf numFmtId="0" fontId="7" fillId="2" borderId="5" applyAlignment="1" pivotButton="0" quotePrefix="0" xfId="0">
      <alignment horizontal="center" wrapText="1"/>
    </xf>
    <xf numFmtId="0" fontId="7" fillId="2" borderId="5" applyAlignment="1" pivotButton="0" quotePrefix="0" xfId="0">
      <alignment horizontal="left" vertical="center"/>
    </xf>
    <xf numFmtId="164" fontId="6" fillId="2" borderId="6" applyAlignment="1" applyProtection="1" pivotButton="0" quotePrefix="0" xfId="0">
      <alignment horizontal="left" vertical="center"/>
      <protection locked="0" hidden="0"/>
    </xf>
    <xf numFmtId="164" fontId="21" fillId="2" borderId="6" applyAlignment="1" applyProtection="1" pivotButton="0" quotePrefix="0" xfId="0">
      <alignment horizontal="left" vertical="center"/>
      <protection locked="0" hidden="0"/>
    </xf>
    <xf numFmtId="164" fontId="7" fillId="2" borderId="8" applyAlignment="1" applyProtection="1" pivotButton="0" quotePrefix="0" xfId="0">
      <alignment horizontal="center" vertical="center"/>
      <protection locked="0" hidden="0"/>
    </xf>
    <xf numFmtId="0" fontId="1" fillId="2" borderId="10" applyAlignment="1" applyProtection="1" pivotButton="0" quotePrefix="0" xfId="0">
      <alignment horizontal="left" vertical="center"/>
      <protection locked="0" hidden="0"/>
    </xf>
    <xf numFmtId="0" fontId="1" fillId="2" borderId="5" applyAlignment="1" applyProtection="1" pivotButton="0" quotePrefix="0" xfId="0">
      <alignment horizontal="center" wrapText="1"/>
      <protection locked="0" hidden="0"/>
    </xf>
    <xf numFmtId="0" fontId="1" fillId="2" borderId="10" applyAlignment="1" applyProtection="1" pivotButton="0" quotePrefix="0" xfId="0">
      <alignment horizontal="center" wrapText="1"/>
      <protection locked="0" hidden="0"/>
    </xf>
    <xf numFmtId="14" fontId="11" fillId="4" borderId="2" applyAlignment="1" applyProtection="1" pivotButton="0" quotePrefix="0" xfId="0">
      <alignment horizontal="center" vertical="center"/>
      <protection locked="0" hidden="0"/>
    </xf>
    <xf numFmtId="14" fontId="11" fillId="4" borderId="5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  <xf numFmtId="164" fontId="22" fillId="0" borderId="17" applyAlignment="1" pivotButton="0" quotePrefix="0" xfId="0">
      <alignment horizontal="center" vertical="center" wrapText="1"/>
    </xf>
    <xf numFmtId="164" fontId="16" fillId="0" borderId="17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5" borderId="46" pivotButton="0" quotePrefix="0" xfId="0"/>
    <xf numFmtId="0" fontId="0" fillId="5" borderId="43" pivotButton="0" quotePrefix="0" xfId="0"/>
    <xf numFmtId="0" fontId="0" fillId="5" borderId="42" pivotButton="0" quotePrefix="0" xfId="0"/>
    <xf numFmtId="0" fontId="2" fillId="5" borderId="44" applyAlignment="1" pivotButton="0" quotePrefix="0" xfId="0">
      <alignment horizontal="center" vertical="center"/>
    </xf>
    <xf numFmtId="0" fontId="2" fillId="5" borderId="45" applyAlignment="1" pivotButton="0" quotePrefix="0" xfId="0">
      <alignment horizontal="center" vertical="center"/>
    </xf>
    <xf numFmtId="165" fontId="17" fillId="5" borderId="47" applyAlignment="1" pivotButton="0" quotePrefix="0" xfId="0">
      <alignment horizontal="center" vertical="center" wrapText="1"/>
    </xf>
    <xf numFmtId="165" fontId="17" fillId="5" borderId="45" applyAlignment="1" pivotButton="0" quotePrefix="0" xfId="0">
      <alignment horizontal="center" vertical="center" wrapText="1"/>
    </xf>
    <xf numFmtId="166" fontId="0" fillId="0" borderId="0" applyProtection="1" pivotButton="0" quotePrefix="0" xfId="0">
      <protection locked="0" hidden="0"/>
    </xf>
    <xf numFmtId="166" fontId="0" fillId="0" borderId="0" pivotButton="0" quotePrefix="0" xfId="0"/>
    <xf numFmtId="164" fontId="23" fillId="0" borderId="31" applyAlignment="1" applyProtection="1" pivotButton="0" quotePrefix="0" xfId="0">
      <alignment horizontal="center" vertical="center" wrapText="1"/>
      <protection locked="0" hidden="0"/>
    </xf>
    <xf numFmtId="14" fontId="0" fillId="0" borderId="0" applyProtection="1" pivotButton="0" quotePrefix="0" xfId="0">
      <protection locked="0" hidden="0"/>
    </xf>
    <xf numFmtId="164" fontId="23" fillId="0" borderId="31" applyAlignment="1" applyProtection="1" pivotButton="0" quotePrefix="0" xfId="0">
      <alignment horizontal="left" vertical="center"/>
      <protection locked="0" hidden="0"/>
    </xf>
    <xf numFmtId="164" fontId="23" fillId="0" borderId="33" applyAlignment="1" applyProtection="1" pivotButton="0" quotePrefix="0" xfId="0">
      <alignment horizontal="left" vertical="center"/>
      <protection locked="0" hidden="0"/>
    </xf>
    <xf numFmtId="164" fontId="0" fillId="0" borderId="31" applyAlignment="1" applyProtection="1" pivotButton="0" quotePrefix="0" xfId="0">
      <alignment horizontal="left" vertical="top"/>
      <protection locked="0" hidden="0"/>
    </xf>
    <xf numFmtId="14" fontId="2" fillId="4" borderId="0" applyAlignment="1" pivotButton="0" quotePrefix="0" xfId="0">
      <alignment horizontal="center" vertical="center"/>
    </xf>
    <xf numFmtId="164" fontId="16" fillId="0" borderId="27" applyAlignment="1" applyProtection="1" pivotButton="0" quotePrefix="0" xfId="0">
      <alignment horizontal="center" vertical="center"/>
      <protection locked="0" hidden="0"/>
    </xf>
    <xf numFmtId="164" fontId="26" fillId="0" borderId="27" applyAlignment="1" applyProtection="1" pivotButton="0" quotePrefix="0" xfId="0">
      <alignment horizontal="left" vertical="center"/>
      <protection locked="0" hidden="0"/>
    </xf>
    <xf numFmtId="164" fontId="16" fillId="0" borderId="31" applyAlignment="1" applyProtection="1" pivotButton="0" quotePrefix="0" xfId="0">
      <alignment horizontal="center" vertical="center"/>
      <protection locked="0" hidden="0"/>
    </xf>
    <xf numFmtId="164" fontId="16" fillId="0" borderId="31" applyAlignment="1" applyProtection="1" pivotButton="0" quotePrefix="0" xfId="0">
      <alignment horizontal="left" vertical="center"/>
      <protection locked="0" hidden="0"/>
    </xf>
    <xf numFmtId="164" fontId="16" fillId="0" borderId="33" applyAlignment="1" applyProtection="1" pivotButton="0" quotePrefix="0" xfId="0">
      <alignment horizontal="left" vertical="center"/>
      <protection locked="0" hidden="0"/>
    </xf>
    <xf numFmtId="164" fontId="2" fillId="5" borderId="31" applyAlignment="1" applyProtection="1" pivotButton="0" quotePrefix="0" xfId="0">
      <alignment horizontal="center" vertical="center"/>
      <protection locked="0" hidden="0"/>
    </xf>
    <xf numFmtId="164" fontId="0" fillId="0" borderId="22" applyAlignment="1" applyProtection="1" pivotButton="0" quotePrefix="0" xfId="0">
      <alignment horizontal="left" vertical="center"/>
      <protection locked="0" hidden="0"/>
    </xf>
    <xf numFmtId="164" fontId="16" fillId="0" borderId="22" applyAlignment="1" applyProtection="1" pivotButton="0" quotePrefix="0" xfId="0">
      <alignment horizontal="left" vertical="center"/>
      <protection locked="0" hidden="0"/>
    </xf>
    <xf numFmtId="164" fontId="13" fillId="0" borderId="25" applyAlignment="1" pivotButton="0" quotePrefix="0" xfId="0">
      <alignment horizontal="center" vertical="top"/>
    </xf>
    <xf numFmtId="164" fontId="27" fillId="0" borderId="31" applyAlignment="1" applyProtection="1" pivotButton="0" quotePrefix="0" xfId="0">
      <alignment horizontal="left" vertical="top"/>
      <protection locked="0" hidden="0"/>
    </xf>
    <xf numFmtId="164" fontId="29" fillId="5" borderId="18" applyAlignment="1" pivotButton="0" quotePrefix="0" xfId="0">
      <alignment horizontal="center" vertical="center" wrapText="1"/>
    </xf>
    <xf numFmtId="164" fontId="0" fillId="5" borderId="31" applyAlignment="1" applyProtection="1" pivotButton="0" quotePrefix="0" xfId="0">
      <alignment horizontal="center" vertical="center"/>
      <protection locked="0" hidden="0"/>
    </xf>
    <xf numFmtId="164" fontId="0" fillId="5" borderId="33" applyAlignment="1" applyProtection="1" pivotButton="0" quotePrefix="0" xfId="0">
      <alignment horizontal="center" vertical="center"/>
      <protection locked="0" hidden="0"/>
    </xf>
    <xf numFmtId="164" fontId="0" fillId="5" borderId="31" applyAlignment="1" applyProtection="1" pivotButton="0" quotePrefix="0" xfId="0">
      <alignment horizontal="left" vertical="center"/>
      <protection locked="0" hidden="0"/>
    </xf>
    <xf numFmtId="164" fontId="0" fillId="5" borderId="33" applyAlignment="1" applyProtection="1" pivotButton="0" quotePrefix="0" xfId="0">
      <alignment horizontal="left" vertical="center"/>
      <protection locked="0" hidden="0"/>
    </xf>
    <xf numFmtId="164" fontId="0" fillId="5" borderId="27" applyAlignment="1" applyProtection="1" pivotButton="0" quotePrefix="0" xfId="0">
      <alignment horizontal="left" vertical="center"/>
      <protection locked="0" hidden="0"/>
    </xf>
    <xf numFmtId="164" fontId="0" fillId="5" borderId="31" applyAlignment="1" applyProtection="1" pivotButton="0" quotePrefix="0" xfId="0">
      <alignment horizontal="left" vertical="top"/>
      <protection locked="0" hidden="0"/>
    </xf>
    <xf numFmtId="164" fontId="30" fillId="5" borderId="21" applyAlignment="1" applyProtection="1" pivotButton="0" quotePrefix="0" xfId="0">
      <alignment horizontal="center" vertical="center"/>
      <protection locked="0" hidden="0"/>
    </xf>
    <xf numFmtId="164" fontId="30" fillId="5" borderId="22" applyAlignment="1" applyProtection="1" pivotButton="0" quotePrefix="0" xfId="0">
      <alignment horizontal="center" vertical="center"/>
      <protection locked="0" hidden="0"/>
    </xf>
    <xf numFmtId="164" fontId="30" fillId="5" borderId="23" applyAlignment="1" applyProtection="1" pivotButton="0" quotePrefix="0" xfId="0">
      <alignment horizontal="center" vertical="center"/>
      <protection locked="0" hidden="0"/>
    </xf>
    <xf numFmtId="164" fontId="30" fillId="5" borderId="30" applyAlignment="1" applyProtection="1" pivotButton="0" quotePrefix="0" xfId="0">
      <alignment horizontal="center" vertical="center"/>
      <protection locked="0" hidden="0"/>
    </xf>
    <xf numFmtId="164" fontId="30" fillId="5" borderId="27" applyAlignment="1" applyProtection="1" pivotButton="0" quotePrefix="0" xfId="0">
      <alignment horizontal="center" vertical="center"/>
      <protection locked="0" hidden="0"/>
    </xf>
    <xf numFmtId="164" fontId="30" fillId="5" borderId="28" applyAlignment="1" applyProtection="1" pivotButton="0" quotePrefix="0" xfId="0">
      <alignment horizontal="center" vertical="center"/>
      <protection locked="0" hidden="0"/>
    </xf>
    <xf numFmtId="164" fontId="0" fillId="5" borderId="52" applyAlignment="1" applyProtection="1" pivotButton="0" quotePrefix="0" xfId="0">
      <alignment horizontal="center" vertical="center"/>
      <protection locked="0" hidden="0"/>
    </xf>
    <xf numFmtId="164" fontId="0" fillId="5" borderId="53" applyAlignment="1" applyProtection="1" pivotButton="0" quotePrefix="0" xfId="0">
      <alignment horizontal="center" vertical="center"/>
      <protection locked="0" hidden="0"/>
    </xf>
    <xf numFmtId="0" fontId="9" fillId="3" borderId="50" applyAlignment="1" pivotButton="0" quotePrefix="0" xfId="0">
      <alignment horizontal="center" vertical="center" wrapText="1"/>
    </xf>
    <xf numFmtId="0" fontId="31" fillId="0" borderId="57" applyAlignment="1" pivotButton="0" quotePrefix="0" xfId="0">
      <alignment horizontal="center" vertical="center" wrapText="1"/>
    </xf>
    <xf numFmtId="0" fontId="31" fillId="0" borderId="58" applyAlignment="1" pivotButton="0" quotePrefix="0" xfId="0">
      <alignment horizontal="center" vertical="center" wrapText="1"/>
    </xf>
    <xf numFmtId="0" fontId="31" fillId="0" borderId="59" applyAlignment="1" pivotButton="0" quotePrefix="0" xfId="0">
      <alignment horizontal="center" vertical="center" wrapText="1"/>
    </xf>
    <xf numFmtId="0" fontId="31" fillId="0" borderId="60" applyAlignment="1" pivotButton="0" quotePrefix="0" xfId="0">
      <alignment horizontal="center" vertical="center" wrapText="1"/>
    </xf>
    <xf numFmtId="20" fontId="32" fillId="0" borderId="59" applyAlignment="1" pivotButton="0" quotePrefix="0" xfId="0">
      <alignment horizontal="center" vertical="center" wrapText="1"/>
    </xf>
    <xf numFmtId="20" fontId="32" fillId="0" borderId="60" applyAlignment="1" pivotButton="0" quotePrefix="0" xfId="0">
      <alignment horizontal="center" vertical="center" wrapText="1"/>
    </xf>
    <xf numFmtId="20" fontId="32" fillId="0" borderId="60" applyAlignment="1" pivotButton="0" quotePrefix="0" xfId="0">
      <alignment horizontal="left" vertical="center" wrapText="1" indent="1"/>
    </xf>
    <xf numFmtId="20" fontId="31" fillId="0" borderId="59" applyAlignment="1" pivotButton="0" quotePrefix="0" xfId="0">
      <alignment horizontal="center" vertical="center" wrapText="1"/>
    </xf>
    <xf numFmtId="20" fontId="31" fillId="0" borderId="60" applyAlignment="1" pivotButton="0" quotePrefix="0" xfId="0">
      <alignment horizontal="center" vertical="center" wrapText="1"/>
    </xf>
    <xf numFmtId="20" fontId="31" fillId="0" borderId="60" applyAlignment="1" pivotButton="0" quotePrefix="0" xfId="0">
      <alignment horizontal="left" vertical="center" wrapText="1" indent="2"/>
    </xf>
    <xf numFmtId="0" fontId="33" fillId="0" borderId="59" applyAlignment="1" pivotButton="0" quotePrefix="0" xfId="0">
      <alignment horizontal="center" vertical="center" wrapText="1"/>
    </xf>
    <xf numFmtId="0" fontId="16" fillId="5" borderId="43" applyAlignment="1" pivotButton="0" quotePrefix="0" xfId="0">
      <alignment horizontal="right" vertical="top" wrapText="1"/>
    </xf>
    <xf numFmtId="0" fontId="16" fillId="0" borderId="43" applyAlignment="1" pivotButton="0" quotePrefix="0" xfId="0">
      <alignment horizontal="right" vertical="top" wrapText="1"/>
    </xf>
    <xf numFmtId="0" fontId="16" fillId="0" borderId="4" applyAlignment="1" applyProtection="1" pivotButton="0" quotePrefix="0" xfId="0">
      <alignment horizontal="left" vertical="center"/>
      <protection locked="0" hidden="0"/>
    </xf>
    <xf numFmtId="0" fontId="16" fillId="0" borderId="5" applyAlignment="1" applyProtection="1" pivotButton="0" quotePrefix="0" xfId="0">
      <alignment horizontal="left" vertical="center"/>
      <protection locked="0" hidden="0"/>
    </xf>
    <xf numFmtId="0" fontId="2" fillId="0" borderId="43" applyAlignment="1" pivotButton="0" quotePrefix="0" xfId="0">
      <alignment horizontal="center" vertical="center"/>
    </xf>
    <xf numFmtId="0" fontId="2" fillId="0" borderId="42" applyAlignment="1" pivotButton="0" quotePrefix="0" xfId="0">
      <alignment horizontal="center" vertical="center"/>
    </xf>
    <xf numFmtId="0" fontId="2" fillId="0" borderId="44" applyAlignment="1" pivotButton="0" quotePrefix="0" xfId="0">
      <alignment horizontal="center" vertical="center"/>
    </xf>
    <xf numFmtId="0" fontId="2" fillId="0" borderId="45" applyAlignment="1" pivotButton="0" quotePrefix="0" xfId="0">
      <alignment horizontal="center" vertical="center"/>
    </xf>
    <xf numFmtId="165" fontId="17" fillId="0" borderId="46" applyAlignment="1" pivotButton="0" quotePrefix="0" xfId="0">
      <alignment horizontal="center" vertical="center" wrapText="1"/>
    </xf>
    <xf numFmtId="165" fontId="17" fillId="0" borderId="42" applyAlignment="1" pivotButton="0" quotePrefix="0" xfId="0">
      <alignment horizontal="center" vertical="center" wrapText="1"/>
    </xf>
    <xf numFmtId="165" fontId="17" fillId="0" borderId="47" applyAlignment="1" pivotButton="0" quotePrefix="0" xfId="0">
      <alignment horizontal="center" vertical="center" wrapText="1"/>
    </xf>
    <xf numFmtId="165" fontId="17" fillId="0" borderId="45" applyAlignment="1" pivotButton="0" quotePrefix="0" xfId="0">
      <alignment horizontal="center" vertical="center" wrapText="1"/>
    </xf>
    <xf numFmtId="0" fontId="16" fillId="0" borderId="11" applyAlignment="1" applyProtection="1" pivotButton="0" quotePrefix="0" xfId="0">
      <alignment horizontal="left" vertical="center"/>
      <protection locked="0" hidden="0"/>
    </xf>
    <xf numFmtId="0" fontId="16" fillId="0" borderId="12" applyAlignment="1" applyProtection="1" pivotButton="0" quotePrefix="0" xfId="0">
      <alignment horizontal="left" vertical="center"/>
      <protection locked="0" hidden="0"/>
    </xf>
    <xf numFmtId="0" fontId="1" fillId="2" borderId="6" applyAlignment="1" pivotButton="0" quotePrefix="0" xfId="0">
      <alignment horizontal="left"/>
    </xf>
    <xf numFmtId="0" fontId="1" fillId="2" borderId="7" applyAlignment="1" pivotButton="0" quotePrefix="0" xfId="0">
      <alignment horizontal="left"/>
    </xf>
    <xf numFmtId="0" fontId="20" fillId="2" borderId="13" applyAlignment="1" applyProtection="1" pivotButton="0" quotePrefix="0" xfId="0">
      <alignment horizontal="left" vertical="center"/>
      <protection locked="0" hidden="0"/>
    </xf>
    <xf numFmtId="0" fontId="20" fillId="2" borderId="15" applyAlignment="1" applyProtection="1" pivotButton="0" quotePrefix="0" xfId="0">
      <alignment horizontal="left" vertical="center"/>
      <protection locked="0" hidden="0"/>
    </xf>
    <xf numFmtId="0" fontId="20" fillId="2" borderId="16" applyAlignment="1" applyProtection="1" pivotButton="0" quotePrefix="0" xfId="0">
      <alignment horizontal="left" vertical="center"/>
      <protection locked="0" hidden="0"/>
    </xf>
    <xf numFmtId="0" fontId="1" fillId="2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" fillId="2" borderId="6" applyAlignment="1" pivotButton="0" quotePrefix="0" xfId="0">
      <alignment horizontal="left" vertical="center"/>
    </xf>
    <xf numFmtId="0" fontId="1" fillId="2" borderId="9" applyAlignment="1" pivotButton="0" quotePrefix="0" xfId="0">
      <alignment horizontal="left" vertical="center"/>
    </xf>
    <xf numFmtId="0" fontId="1" fillId="2" borderId="8" applyAlignment="1" pivotButton="0" quotePrefix="0" xfId="0">
      <alignment horizontal="left" vertical="center"/>
    </xf>
    <xf numFmtId="0" fontId="7" fillId="2" borderId="5" applyAlignment="1" applyProtection="1" pivotButton="0" quotePrefix="0" xfId="0">
      <alignment horizontal="left" vertical="center"/>
      <protection locked="0" hidden="0"/>
    </xf>
    <xf numFmtId="0" fontId="1" fillId="2" borderId="6" applyAlignment="1" applyProtection="1" pivotButton="0" quotePrefix="0" xfId="0">
      <alignment horizontal="left" vertical="center"/>
      <protection locked="0" hidden="0"/>
    </xf>
    <xf numFmtId="0" fontId="0" fillId="0" borderId="9" applyAlignment="1" applyProtection="1" pivotButton="0" quotePrefix="0" xfId="0">
      <alignment vertical="center"/>
      <protection locked="0" hidden="0"/>
    </xf>
    <xf numFmtId="0" fontId="0" fillId="0" borderId="7" applyAlignment="1" applyProtection="1" pivotButton="0" quotePrefix="0" xfId="0">
      <alignment vertical="center"/>
      <protection locked="0" hidden="0"/>
    </xf>
    <xf numFmtId="0" fontId="7" fillId="2" borderId="6" applyAlignment="1" pivotButton="0" quotePrefix="0" xfId="0">
      <alignment horizontal="center" vertical="center"/>
    </xf>
    <xf numFmtId="0" fontId="0" fillId="0" borderId="7" applyAlignment="1" pivotButton="0" quotePrefix="0" xfId="0">
      <alignment vertical="center"/>
    </xf>
    <xf numFmtId="0" fontId="9" fillId="0" borderId="43" applyAlignment="1" pivotButton="0" quotePrefix="0" xfId="0">
      <alignment horizontal="center" vertical="center"/>
    </xf>
    <xf numFmtId="0" fontId="9" fillId="0" borderId="42" applyAlignment="1" pivotButton="0" quotePrefix="0" xfId="0">
      <alignment horizontal="center" vertical="center"/>
    </xf>
    <xf numFmtId="0" fontId="9" fillId="0" borderId="44" applyAlignment="1" pivotButton="0" quotePrefix="0" xfId="0">
      <alignment horizontal="center" vertical="center"/>
    </xf>
    <xf numFmtId="0" fontId="9" fillId="0" borderId="45" applyAlignment="1" pivotButton="0" quotePrefix="0" xfId="0">
      <alignment horizontal="center" vertical="center"/>
    </xf>
    <xf numFmtId="164" fontId="19" fillId="0" borderId="18" applyAlignment="1" pivotButton="0" quotePrefix="0" xfId="0">
      <alignment horizontal="center" vertical="center" wrapText="1"/>
    </xf>
    <xf numFmtId="164" fontId="17" fillId="0" borderId="46" applyAlignment="1" applyProtection="1" pivotButton="0" quotePrefix="0" xfId="0">
      <alignment horizontal="center" vertical="center" wrapText="1"/>
      <protection locked="0" hidden="0"/>
    </xf>
    <xf numFmtId="164" fontId="17" fillId="0" borderId="42" applyAlignment="1" applyProtection="1" pivotButton="0" quotePrefix="0" xfId="0">
      <alignment horizontal="center" vertical="center" wrapText="1"/>
      <protection locked="0" hidden="0"/>
    </xf>
    <xf numFmtId="164" fontId="17" fillId="0" borderId="47" applyAlignment="1" applyProtection="1" pivotButton="0" quotePrefix="0" xfId="0">
      <alignment horizontal="center" vertical="center" wrapText="1"/>
      <protection locked="0" hidden="0"/>
    </xf>
    <xf numFmtId="164" fontId="17" fillId="0" borderId="45" applyAlignment="1" applyProtection="1" pivotButton="0" quotePrefix="0" xfId="0">
      <alignment horizontal="center" vertical="center" wrapText="1"/>
      <protection locked="0" hidden="0"/>
    </xf>
    <xf numFmtId="0" fontId="18" fillId="0" borderId="43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4" applyAlignment="1" pivotButton="0" quotePrefix="0" xfId="0">
      <alignment horizontal="center" vertical="center"/>
    </xf>
    <xf numFmtId="0" fontId="18" fillId="0" borderId="45" applyAlignment="1" pivotButton="0" quotePrefix="0" xfId="0">
      <alignment horizontal="center" vertical="center"/>
    </xf>
    <xf numFmtId="164" fontId="17" fillId="0" borderId="46" applyAlignment="1" pivotButton="0" quotePrefix="0" xfId="0">
      <alignment horizontal="center" vertical="center" wrapText="1"/>
    </xf>
    <xf numFmtId="164" fontId="17" fillId="0" borderId="42" applyAlignment="1" pivotButton="0" quotePrefix="0" xfId="0">
      <alignment horizontal="center" vertical="center" wrapText="1"/>
    </xf>
    <xf numFmtId="164" fontId="17" fillId="0" borderId="47" applyAlignment="1" pivotButton="0" quotePrefix="0" xfId="0">
      <alignment horizontal="center" vertical="center" wrapText="1"/>
    </xf>
    <xf numFmtId="164" fontId="17" fillId="0" borderId="45" applyAlignment="1" pivotButton="0" quotePrefix="0" xfId="0">
      <alignment horizontal="center" vertical="center" wrapText="1"/>
    </xf>
    <xf numFmtId="0" fontId="9" fillId="0" borderId="43" applyAlignment="1" pivotButton="0" quotePrefix="0" xfId="0">
      <alignment horizontal="center" vertical="center" wrapText="1"/>
    </xf>
    <xf numFmtId="0" fontId="9" fillId="0" borderId="42" applyAlignment="1" pivotButton="0" quotePrefix="0" xfId="0">
      <alignment horizontal="center" vertical="center" wrapText="1"/>
    </xf>
    <xf numFmtId="0" fontId="9" fillId="0" borderId="44" applyAlignment="1" pivotButton="0" quotePrefix="0" xfId="0">
      <alignment horizontal="center" vertical="center" wrapText="1"/>
    </xf>
    <xf numFmtId="0" fontId="9" fillId="0" borderId="45" applyAlignment="1" pivotButton="0" quotePrefix="0" xfId="0">
      <alignment horizontal="center" vertical="center" wrapText="1"/>
    </xf>
    <xf numFmtId="164" fontId="17" fillId="0" borderId="18" applyAlignment="1" pivotButton="0" quotePrefix="0" xfId="0">
      <alignment horizontal="center" vertical="center" wrapText="1"/>
    </xf>
    <xf numFmtId="0" fontId="15" fillId="0" borderId="38" applyAlignment="1" pivotButton="0" quotePrefix="0" xfId="0">
      <alignment horizontal="center" vertical="center" wrapText="1"/>
    </xf>
    <xf numFmtId="0" fontId="15" fillId="0" borderId="39" applyAlignment="1" pivotButton="0" quotePrefix="0" xfId="0">
      <alignment horizontal="center" vertical="center" wrapText="1"/>
    </xf>
    <xf numFmtId="0" fontId="13" fillId="0" borderId="39" applyAlignment="1" applyProtection="1" pivotButton="0" quotePrefix="0" xfId="0">
      <alignment horizontal="left" vertical="center" wrapText="1"/>
      <protection locked="0" hidden="0"/>
    </xf>
    <xf numFmtId="0" fontId="13" fillId="0" borderId="40" applyAlignment="1" applyProtection="1" pivotButton="0" quotePrefix="0" xfId="0">
      <alignment horizontal="left" vertical="center" wrapText="1"/>
      <protection locked="0" hidden="0"/>
    </xf>
    <xf numFmtId="0" fontId="0" fillId="0" borderId="41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4" fillId="4" borderId="36" applyAlignment="1" pivotButton="0" quotePrefix="0" xfId="0">
      <alignment horizontal="right" vertical="center"/>
    </xf>
    <xf numFmtId="0" fontId="4" fillId="4" borderId="37" applyAlignment="1" pivotButton="0" quotePrefix="0" xfId="0">
      <alignment horizontal="right" vertical="center"/>
    </xf>
    <xf numFmtId="0" fontId="4" fillId="4" borderId="25" applyAlignment="1" pivotButton="0" quotePrefix="0" xfId="0">
      <alignment horizontal="right" vertical="center"/>
    </xf>
    <xf numFmtId="167" fontId="12" fillId="4" borderId="5" applyAlignment="1" applyProtection="1" pivotButton="0" quotePrefix="0" xfId="0">
      <alignment horizontal="center"/>
      <protection locked="0" hidden="0"/>
    </xf>
    <xf numFmtId="167" fontId="12" fillId="4" borderId="6" applyAlignment="1" applyProtection="1" pivotButton="0" quotePrefix="0" xfId="0">
      <alignment horizontal="center"/>
      <protection locked="0" hidden="0"/>
    </xf>
    <xf numFmtId="0" fontId="2" fillId="3" borderId="17" applyAlignment="1" pivotButton="0" quotePrefix="0" xfId="0">
      <alignment horizontal="center" vertical="center"/>
    </xf>
    <xf numFmtId="0" fontId="2" fillId="3" borderId="18" applyAlignment="1" pivotButton="0" quotePrefix="0" xfId="0">
      <alignment horizontal="center" vertical="center"/>
    </xf>
    <xf numFmtId="0" fontId="9" fillId="3" borderId="17" applyAlignment="1" pivotButton="0" quotePrefix="0" xfId="0">
      <alignment horizontal="center" vertical="center"/>
    </xf>
    <xf numFmtId="167" fontId="28" fillId="4" borderId="2" applyAlignment="1" applyProtection="1" pivotButton="0" quotePrefix="0" xfId="0">
      <alignment horizontal="center"/>
      <protection locked="0" hidden="0"/>
    </xf>
    <xf numFmtId="167" fontId="28" fillId="4" borderId="20" applyAlignment="1" applyProtection="1" pivotButton="0" quotePrefix="0" xfId="0">
      <alignment horizontal="center"/>
      <protection locked="0" hidden="0"/>
    </xf>
    <xf numFmtId="0" fontId="25" fillId="4" borderId="0" applyAlignment="1" applyProtection="1" pivotButton="0" quotePrefix="0" xfId="0">
      <alignment vertical="top" wrapText="1"/>
      <protection locked="0" hidden="0"/>
    </xf>
    <xf numFmtId="0" fontId="25" fillId="4" borderId="0" applyAlignment="1" pivotButton="0" quotePrefix="0" xfId="0">
      <alignment vertical="top" wrapText="1"/>
    </xf>
    <xf numFmtId="166" fontId="24" fillId="4" borderId="36" applyAlignment="1" applyProtection="1" pivotButton="0" quotePrefix="0" xfId="0">
      <alignment horizontal="center" vertical="center" wrapText="1"/>
      <protection locked="0" hidden="0"/>
    </xf>
    <xf numFmtId="0" fontId="0" fillId="0" borderId="25" applyAlignment="1" pivotButton="0" quotePrefix="0" xfId="0">
      <alignment wrapText="1"/>
    </xf>
    <xf numFmtId="0" fontId="4" fillId="5" borderId="5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5" borderId="51" applyAlignment="1" pivotButton="0" quotePrefix="0" xfId="0">
      <alignment horizontal="center" vertical="center"/>
    </xf>
    <xf numFmtId="0" fontId="5" fillId="5" borderId="5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5" borderId="51" applyAlignment="1" pivotButton="0" quotePrefix="0" xfId="0">
      <alignment horizontal="center" vertical="center"/>
    </xf>
    <xf numFmtId="0" fontId="4" fillId="5" borderId="5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5" borderId="51" applyAlignment="1" pivotButton="0" quotePrefix="0" xfId="0">
      <alignment horizontal="center"/>
    </xf>
    <xf numFmtId="0" fontId="1" fillId="2" borderId="1" applyAlignment="1" pivotButton="0" quotePrefix="0" xfId="0">
      <alignment horizontal="left"/>
    </xf>
    <xf numFmtId="0" fontId="1" fillId="2" borderId="2" applyAlignment="1" pivotButton="0" quotePrefix="0" xfId="0">
      <alignment horizontal="left"/>
    </xf>
    <xf numFmtId="0" fontId="1" fillId="2" borderId="2" applyAlignment="1" applyProtection="1" pivotButton="0" quotePrefix="0" xfId="0">
      <alignment horizontal="left" wrapText="1"/>
      <protection locked="0" hidden="0"/>
    </xf>
    <xf numFmtId="168" fontId="6" fillId="2" borderId="2" applyAlignment="1" applyProtection="1" pivotButton="0" quotePrefix="0" xfId="0">
      <alignment horizontal="left"/>
      <protection locked="0" hidden="0"/>
    </xf>
    <xf numFmtId="168" fontId="6" fillId="2" borderId="3" applyAlignment="1" applyProtection="1" pivotButton="0" quotePrefix="0" xfId="0">
      <alignment horizontal="left"/>
      <protection locked="0" hidden="0"/>
    </xf>
    <xf numFmtId="0" fontId="1" fillId="2" borderId="48" applyAlignment="1" pivotButton="0" quotePrefix="0" xfId="0">
      <alignment vertical="center" wrapText="1"/>
    </xf>
    <xf numFmtId="0" fontId="0" fillId="0" borderId="7" applyAlignment="1" pivotButton="0" quotePrefix="0" xfId="0">
      <alignment vertical="center" wrapText="1"/>
    </xf>
    <xf numFmtId="0" fontId="1" fillId="2" borderId="6" applyAlignment="1" applyProtection="1" pivotButton="0" quotePrefix="0" xfId="0">
      <alignment horizontal="left" vertical="center" wrapText="1"/>
      <protection locked="0" hidden="0"/>
    </xf>
    <xf numFmtId="0" fontId="0" fillId="0" borderId="9" applyAlignment="1" applyProtection="1" pivotButton="0" quotePrefix="0" xfId="0">
      <alignment vertical="center" wrapText="1"/>
      <protection locked="0" hidden="0"/>
    </xf>
    <xf numFmtId="0" fontId="0" fillId="0" borderId="7" applyAlignment="1" applyProtection="1" pivotButton="0" quotePrefix="0" xfId="0">
      <alignment vertical="center" wrapText="1"/>
      <protection locked="0" hidden="0"/>
    </xf>
    <xf numFmtId="0" fontId="1" fillId="2" borderId="6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1" fillId="2" borderId="49" applyAlignment="1" pivotButton="0" quotePrefix="0" xfId="0">
      <alignment horizontal="left" vertical="center" wrapText="1"/>
    </xf>
    <xf numFmtId="0" fontId="0" fillId="0" borderId="14" applyAlignment="1" pivotButton="0" quotePrefix="0" xfId="0">
      <alignment horizontal="left" vertical="center" wrapText="1"/>
    </xf>
    <xf numFmtId="0" fontId="1" fillId="2" borderId="13" applyAlignment="1" applyProtection="1" pivotButton="0" quotePrefix="0" xfId="0">
      <alignment horizontal="left" vertical="center" wrapText="1"/>
      <protection locked="0" hidden="0"/>
    </xf>
    <xf numFmtId="0" fontId="0" fillId="0" borderId="15" applyAlignment="1" applyProtection="1" pivotButton="0" quotePrefix="0" xfId="0">
      <alignment horizontal="left" vertical="center" wrapText="1"/>
      <protection locked="0" hidden="0"/>
    </xf>
    <xf numFmtId="0" fontId="0" fillId="0" borderId="14" applyAlignment="1" applyProtection="1" pivotButton="0" quotePrefix="0" xfId="0">
      <alignment horizontal="left" vertical="center" wrapText="1"/>
      <protection locked="0" hidden="0"/>
    </xf>
    <xf numFmtId="0" fontId="1" fillId="2" borderId="5" applyAlignment="1" applyProtection="1" pivotButton="0" quotePrefix="0" xfId="0">
      <alignment horizontal="left" vertical="center"/>
      <protection locked="0" hidden="0"/>
    </xf>
    <xf numFmtId="0" fontId="4" fillId="5" borderId="47" applyAlignment="1" pivotButton="0" quotePrefix="0" xfId="0">
      <alignment horizontal="center"/>
    </xf>
    <xf numFmtId="0" fontId="4" fillId="5" borderId="44" applyAlignment="1" pivotButton="0" quotePrefix="0" xfId="0">
      <alignment horizontal="center"/>
    </xf>
    <xf numFmtId="0" fontId="4" fillId="5" borderId="45" applyAlignment="1" pivotButton="0" quotePrefix="0" xfId="0">
      <alignment horizontal="center"/>
    </xf>
    <xf numFmtId="0" fontId="1" fillId="2" borderId="38" applyAlignment="1" pivotButton="0" quotePrefix="0" xfId="0">
      <alignment horizontal="left"/>
    </xf>
    <xf numFmtId="0" fontId="1" fillId="2" borderId="40" applyAlignment="1" pivotButton="0" quotePrefix="0" xfId="0">
      <alignment horizontal="left"/>
    </xf>
    <xf numFmtId="0" fontId="1" fillId="2" borderId="20" applyAlignment="1" applyProtection="1" pivotButton="0" quotePrefix="0" xfId="0">
      <alignment horizontal="left" wrapText="1"/>
      <protection locked="0" hidden="0"/>
    </xf>
    <xf numFmtId="0" fontId="1" fillId="2" borderId="39" applyAlignment="1" applyProtection="1" pivotButton="0" quotePrefix="0" xfId="0">
      <alignment horizontal="left" wrapText="1"/>
      <protection locked="0" hidden="0"/>
    </xf>
    <xf numFmtId="0" fontId="1" fillId="2" borderId="40" applyAlignment="1" applyProtection="1" pivotButton="0" quotePrefix="0" xfId="0">
      <alignment horizontal="left" wrapText="1"/>
      <protection locked="0" hidden="0"/>
    </xf>
    <xf numFmtId="168" fontId="6" fillId="2" borderId="20" applyAlignment="1" applyProtection="1" pivotButton="0" quotePrefix="0" xfId="0">
      <alignment horizontal="left"/>
      <protection locked="0" hidden="0"/>
    </xf>
    <xf numFmtId="168" fontId="6" fillId="2" borderId="39" applyAlignment="1" applyProtection="1" pivotButton="0" quotePrefix="0" xfId="0">
      <alignment horizontal="left"/>
      <protection locked="0" hidden="0"/>
    </xf>
    <xf numFmtId="168" fontId="6" fillId="2" borderId="54" applyAlignment="1" applyProtection="1" pivotButton="0" quotePrefix="0" xfId="0">
      <alignment horizontal="left"/>
      <protection locked="0" hidden="0"/>
    </xf>
    <xf numFmtId="0" fontId="1" fillId="2" borderId="7" applyAlignment="1" pivotButton="0" quotePrefix="0" xfId="0">
      <alignment vertical="center" wrapText="1"/>
    </xf>
    <xf numFmtId="0" fontId="1" fillId="2" borderId="9" applyAlignment="1" applyProtection="1" pivotButton="0" quotePrefix="0" xfId="0">
      <alignment horizontal="left" vertical="center" wrapText="1"/>
      <protection locked="0" hidden="0"/>
    </xf>
    <xf numFmtId="0" fontId="1" fillId="2" borderId="7" applyAlignment="1" applyProtection="1" pivotButton="0" quotePrefix="0" xfId="0">
      <alignment horizontal="left" vertical="center" wrapText="1"/>
      <protection locked="0" hidden="0"/>
    </xf>
    <xf numFmtId="0" fontId="7" fillId="2" borderId="6" applyAlignment="1" applyProtection="1" pivotButton="0" quotePrefix="0" xfId="0">
      <alignment horizontal="left" vertical="center"/>
      <protection locked="0" hidden="0"/>
    </xf>
    <xf numFmtId="0" fontId="7" fillId="2" borderId="9" applyAlignment="1" applyProtection="1" pivotButton="0" quotePrefix="0" xfId="0">
      <alignment horizontal="left" vertical="center"/>
      <protection locked="0" hidden="0"/>
    </xf>
    <xf numFmtId="0" fontId="7" fillId="2" borderId="7" applyAlignment="1" applyProtection="1" pivotButton="0" quotePrefix="0" xfId="0">
      <alignment horizontal="left" vertical="center"/>
      <protection locked="0" hidden="0"/>
    </xf>
    <xf numFmtId="0" fontId="1" fillId="2" borderId="7" applyAlignment="1" pivotButton="0" quotePrefix="0" xfId="0">
      <alignment horizontal="left" vertical="center" wrapText="1"/>
    </xf>
    <xf numFmtId="0" fontId="1" fillId="2" borderId="9" applyAlignment="1" applyProtection="1" pivotButton="0" quotePrefix="0" xfId="0">
      <alignment horizontal="left" vertical="center"/>
      <protection locked="0" hidden="0"/>
    </xf>
    <xf numFmtId="0" fontId="1" fillId="2" borderId="7" applyAlignment="1" applyProtection="1" pivotButton="0" quotePrefix="0" xfId="0">
      <alignment horizontal="left" vertical="center"/>
      <protection locked="0" hidden="0"/>
    </xf>
    <xf numFmtId="0" fontId="7" fillId="2" borderId="7" applyAlignment="1" pivotButton="0" quotePrefix="0" xfId="0">
      <alignment horizontal="center" vertical="center"/>
    </xf>
    <xf numFmtId="0" fontId="1" fillId="2" borderId="14" applyAlignment="1" pivotButton="0" quotePrefix="0" xfId="0">
      <alignment horizontal="left" vertical="center" wrapText="1"/>
    </xf>
    <xf numFmtId="0" fontId="1" fillId="2" borderId="15" applyAlignment="1" applyProtection="1" pivotButton="0" quotePrefix="0" xfId="0">
      <alignment horizontal="left" vertical="center" wrapText="1"/>
      <protection locked="0" hidden="0"/>
    </xf>
    <xf numFmtId="0" fontId="1" fillId="2" borderId="14" applyAlignment="1" applyProtection="1" pivotButton="0" quotePrefix="0" xfId="0">
      <alignment horizontal="left" vertical="center" wrapText="1"/>
      <protection locked="0" hidden="0"/>
    </xf>
    <xf numFmtId="0" fontId="1" fillId="2" borderId="15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center" vertical="center" wrapText="1"/>
    </xf>
    <xf numFmtId="167" fontId="12" fillId="4" borderId="6" applyAlignment="1" pivotButton="0" quotePrefix="0" xfId="0">
      <alignment horizontal="center"/>
    </xf>
    <xf numFmtId="167" fontId="12" fillId="4" borderId="9" applyAlignment="1" pivotButton="0" quotePrefix="0" xfId="0">
      <alignment horizontal="center"/>
    </xf>
    <xf numFmtId="167" fontId="12" fillId="4" borderId="8" applyAlignment="1" pivotButton="0" quotePrefix="0" xfId="0">
      <alignment horizontal="center"/>
    </xf>
    <xf numFmtId="0" fontId="2" fillId="3" borderId="46" applyAlignment="1" pivotButton="0" quotePrefix="0" xfId="0">
      <alignment horizontal="center" vertical="center"/>
    </xf>
    <xf numFmtId="0" fontId="2" fillId="3" borderId="43" applyAlignment="1" pivotButton="0" quotePrefix="0" xfId="0">
      <alignment horizontal="center" vertical="center"/>
    </xf>
    <xf numFmtId="0" fontId="2" fillId="3" borderId="42" applyAlignment="1" pivotButton="0" quotePrefix="0" xfId="0">
      <alignment horizontal="center" vertical="center"/>
    </xf>
    <xf numFmtId="0" fontId="2" fillId="3" borderId="47" applyAlignment="1" pivotButton="0" quotePrefix="0" xfId="0">
      <alignment horizontal="center" vertical="center"/>
    </xf>
    <xf numFmtId="0" fontId="2" fillId="3" borderId="44" applyAlignment="1" pivotButton="0" quotePrefix="0" xfId="0">
      <alignment horizontal="center" vertical="center"/>
    </xf>
    <xf numFmtId="0" fontId="2" fillId="3" borderId="45" applyAlignment="1" pivotButton="0" quotePrefix="0" xfId="0">
      <alignment horizontal="center" vertical="center"/>
    </xf>
    <xf numFmtId="0" fontId="9" fillId="3" borderId="36" applyAlignment="1" pivotButton="0" quotePrefix="0" xfId="0">
      <alignment horizontal="center" vertical="center"/>
    </xf>
    <xf numFmtId="0" fontId="9" fillId="3" borderId="25" applyAlignment="1" pivotButton="0" quotePrefix="0" xfId="0">
      <alignment horizontal="center" vertical="center"/>
    </xf>
    <xf numFmtId="167" fontId="12" fillId="4" borderId="20" applyAlignment="1" pivotButton="0" quotePrefix="0" xfId="0">
      <alignment horizontal="center"/>
    </xf>
    <xf numFmtId="167" fontId="12" fillId="4" borderId="39" applyAlignment="1" pivotButton="0" quotePrefix="0" xfId="0">
      <alignment horizontal="center"/>
    </xf>
    <xf numFmtId="167" fontId="12" fillId="4" borderId="54" applyAlignment="1" pivotButton="0" quotePrefix="0" xfId="0">
      <alignment horizontal="center"/>
    </xf>
    <xf numFmtId="167" fontId="12" fillId="4" borderId="13" applyAlignment="1" pivotButton="0" quotePrefix="0" xfId="0">
      <alignment horizontal="center"/>
    </xf>
    <xf numFmtId="167" fontId="12" fillId="4" borderId="15" applyAlignment="1" pivotButton="0" quotePrefix="0" xfId="0">
      <alignment horizontal="center"/>
    </xf>
    <xf numFmtId="167" fontId="12" fillId="4" borderId="16" applyAlignment="1" pivotButton="0" quotePrefix="0" xfId="0">
      <alignment horizontal="center"/>
    </xf>
    <xf numFmtId="0" fontId="15" fillId="0" borderId="38" applyAlignment="1" applyProtection="1" pivotButton="0" quotePrefix="0" xfId="0">
      <alignment horizontal="center" vertical="center" wrapText="1"/>
      <protection locked="0" hidden="0"/>
    </xf>
    <xf numFmtId="0" fontId="15" fillId="0" borderId="39" applyAlignment="1" applyProtection="1" pivotButton="0" quotePrefix="0" xfId="0">
      <alignment horizontal="center" vertical="center" wrapText="1"/>
      <protection locked="0" hidden="0"/>
    </xf>
    <xf numFmtId="0" fontId="16" fillId="0" borderId="48" applyAlignment="1" applyProtection="1" pivotButton="0" quotePrefix="0" xfId="0">
      <alignment horizontal="left" vertical="center"/>
      <protection locked="0" hidden="0"/>
    </xf>
    <xf numFmtId="0" fontId="16" fillId="0" borderId="9" applyAlignment="1" applyProtection="1" pivotButton="0" quotePrefix="0" xfId="0">
      <alignment horizontal="left" vertical="center"/>
      <protection locked="0" hidden="0"/>
    </xf>
    <xf numFmtId="0" fontId="16" fillId="0" borderId="7" applyAlignment="1" applyProtection="1" pivotButton="0" quotePrefix="0" xfId="0">
      <alignment horizontal="left" vertical="center"/>
      <protection locked="0" hidden="0"/>
    </xf>
    <xf numFmtId="0" fontId="9" fillId="0" borderId="55" applyAlignment="1" pivotButton="0" quotePrefix="0" xfId="0">
      <alignment horizontal="center" vertical="center" wrapText="1"/>
    </xf>
    <xf numFmtId="0" fontId="9" fillId="0" borderId="56" applyAlignment="1" pivotButton="0" quotePrefix="0" xfId="0">
      <alignment horizontal="center" vertical="center" wrapText="1"/>
    </xf>
    <xf numFmtId="0" fontId="18" fillId="0" borderId="55" applyAlignment="1" pivotButton="0" quotePrefix="0" xfId="0">
      <alignment horizontal="center" vertical="center"/>
    </xf>
    <xf numFmtId="0" fontId="18" fillId="0" borderId="56" applyAlignment="1" pivotButton="0" quotePrefix="0" xfId="0">
      <alignment horizontal="center" vertical="center"/>
    </xf>
    <xf numFmtId="0" fontId="9" fillId="0" borderId="55" applyAlignment="1" pivotButton="0" quotePrefix="0" xfId="0">
      <alignment horizontal="center" vertical="center"/>
    </xf>
    <xf numFmtId="0" fontId="9" fillId="0" borderId="56" applyAlignment="1" pivotButton="0" quotePrefix="0" xfId="0">
      <alignment horizontal="center" vertical="center"/>
    </xf>
    <xf numFmtId="0" fontId="2" fillId="0" borderId="41" applyAlignment="1" pivotButton="0" quotePrefix="0" xfId="0">
      <alignment horizontal="center" vertical="center"/>
    </xf>
    <xf numFmtId="0" fontId="2" fillId="0" borderId="37" applyAlignment="1" pivotButton="0" quotePrefix="0" xfId="0">
      <alignment horizontal="center" vertical="center"/>
    </xf>
    <xf numFmtId="0" fontId="2" fillId="0" borderId="25" applyAlignment="1" pivotButton="0" quotePrefix="0" xfId="0">
      <alignment horizontal="center" vertical="center"/>
    </xf>
    <xf numFmtId="165" fontId="17" fillId="0" borderId="36" applyAlignment="1" pivotButton="0" quotePrefix="0" xfId="0">
      <alignment horizontal="center" vertical="center" wrapText="1"/>
    </xf>
    <xf numFmtId="165" fontId="17" fillId="0" borderId="25" applyAlignment="1" pivotButton="0" quotePrefix="0" xfId="0">
      <alignment horizontal="center" vertical="center" wrapText="1"/>
    </xf>
    <xf numFmtId="0" fontId="16" fillId="0" borderId="49" applyAlignment="1" applyProtection="1" pivotButton="0" quotePrefix="0" xfId="0">
      <alignment horizontal="left" vertical="center"/>
      <protection locked="0" hidden="0"/>
    </xf>
    <xf numFmtId="0" fontId="16" fillId="0" borderId="15" applyAlignment="1" applyProtection="1" pivotButton="0" quotePrefix="0" xfId="0">
      <alignment horizontal="left" vertical="center"/>
      <protection locked="0" hidden="0"/>
    </xf>
    <xf numFmtId="0" fontId="16" fillId="0" borderId="14" applyAlignment="1" applyProtection="1" pivotButton="0" quotePrefix="0" xfId="0">
      <alignment horizontal="left" vertical="center"/>
      <protection locked="0" hidden="0"/>
    </xf>
    <xf numFmtId="164" fontId="19" fillId="0" borderId="46" applyAlignment="1" pivotButton="0" quotePrefix="0" xfId="0">
      <alignment horizontal="center" vertical="center" wrapText="1"/>
    </xf>
    <xf numFmtId="164" fontId="19" fillId="0" borderId="42" applyAlignment="1" pivotButton="0" quotePrefix="0" xfId="0">
      <alignment horizontal="center" vertical="center" wrapText="1"/>
    </xf>
    <xf numFmtId="164" fontId="19" fillId="0" borderId="47" applyAlignment="1" pivotButton="0" quotePrefix="0" xfId="0">
      <alignment horizontal="center" vertical="center" wrapText="1"/>
    </xf>
    <xf numFmtId="164" fontId="19" fillId="0" borderId="45" applyAlignment="1" pivotButton="0" quotePrefix="0" xfId="0">
      <alignment horizontal="center" vertical="center" wrapText="1"/>
    </xf>
    <xf numFmtId="0" fontId="2" fillId="0" borderId="55" applyAlignment="1" pivotButton="0" quotePrefix="0" xfId="0">
      <alignment horizontal="center" vertical="center"/>
    </xf>
    <xf numFmtId="0" fontId="2" fillId="0" borderId="56" applyAlignment="1" pivotButton="0" quotePrefix="0" xfId="0">
      <alignment horizontal="center" vertical="center"/>
    </xf>
    <xf numFmtId="167" fontId="12" fillId="4" borderId="5" applyAlignment="1" pivotButton="0" quotePrefix="0" xfId="0">
      <alignment horizontal="center"/>
    </xf>
    <xf numFmtId="167" fontId="12" fillId="4" borderId="2" applyAlignment="1" pivotButton="0" quotePrefix="0" xfId="0">
      <alignment horizontal="center"/>
    </xf>
    <xf numFmtId="0" fontId="7" fillId="2" borderId="6" applyAlignment="1" pivotButton="0" quotePrefix="0" xfId="0">
      <alignment horizontal="left"/>
    </xf>
    <xf numFmtId="0" fontId="13" fillId="0" borderId="7" applyAlignment="1" pivotButton="0" quotePrefix="0" xfId="0">
      <alignment horizontal="left"/>
    </xf>
    <xf numFmtId="167" fontId="28" fillId="4" borderId="5" applyAlignment="1" pivotButton="0" quotePrefix="0" xfId="0">
      <alignment horizontal="center"/>
    </xf>
    <xf numFmtId="167" fontId="28" fillId="4" borderId="6" applyAlignment="1" pivotButton="0" quotePrefix="0" xfId="0">
      <alignment horizontal="center"/>
    </xf>
    <xf numFmtId="0" fontId="4" fillId="4" borderId="44" applyAlignment="1" pivotButton="0" quotePrefix="0" xfId="0">
      <alignment horizontal="right" vertical="center"/>
    </xf>
    <xf numFmtId="0" fontId="2" fillId="3" borderId="19" applyAlignment="1" pivotButton="0" quotePrefix="0" xfId="0">
      <alignment horizontal="center" vertical="center"/>
    </xf>
    <xf numFmtId="0" fontId="2" fillId="5" borderId="44" applyAlignment="1" pivotButton="0" quotePrefix="0" xfId="0">
      <alignment horizontal="center" vertical="center"/>
    </xf>
    <xf numFmtId="0" fontId="2" fillId="5" borderId="45" applyAlignment="1" pivotButton="0" quotePrefix="0" xfId="0">
      <alignment horizontal="center" vertical="center"/>
    </xf>
    <xf numFmtId="165" fontId="17" fillId="5" borderId="47" applyAlignment="1" pivotButton="0" quotePrefix="0" xfId="0">
      <alignment horizontal="center" vertical="center" wrapText="1"/>
    </xf>
    <xf numFmtId="165" fontId="17" fillId="5" borderId="45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4" fillId="5" borderId="61" applyAlignment="1" pivotButton="0" quotePrefix="0" xfId="0">
      <alignment horizontal="center" vertical="center"/>
    </xf>
    <xf numFmtId="0" fontId="0" fillId="0" borderId="51" pivotButton="0" quotePrefix="0" xfId="0"/>
    <xf numFmtId="0" fontId="5" fillId="5" borderId="61" applyAlignment="1" pivotButton="0" quotePrefix="0" xfId="0">
      <alignment horizontal="center" vertical="center"/>
    </xf>
    <xf numFmtId="166" fontId="0" fillId="0" borderId="0" pivotButton="0" quotePrefix="0" xfId="0"/>
    <xf numFmtId="0" fontId="4" fillId="5" borderId="61" applyAlignment="1" pivotButton="0" quotePrefix="0" xfId="0">
      <alignment horizontal="center"/>
    </xf>
    <xf numFmtId="0" fontId="0" fillId="0" borderId="40" pivotButton="0" quotePrefix="0" xfId="0"/>
    <xf numFmtId="0" fontId="0" fillId="0" borderId="39" applyProtection="1" pivotButton="0" quotePrefix="0" xfId="0">
      <protection locked="0" hidden="0"/>
    </xf>
    <xf numFmtId="0" fontId="0" fillId="0" borderId="40" applyProtection="1" pivotButton="0" quotePrefix="0" xfId="0">
      <protection locked="0" hidden="0"/>
    </xf>
    <xf numFmtId="168" fontId="6" fillId="2" borderId="2" applyAlignment="1" applyProtection="1" pivotButton="0" quotePrefix="0" xfId="0">
      <alignment horizontal="left"/>
      <protection locked="0" hidden="0"/>
    </xf>
    <xf numFmtId="0" fontId="1" fillId="2" borderId="4" applyAlignment="1" pivotButton="0" quotePrefix="0" xfId="0">
      <alignment vertical="center" wrapText="1"/>
    </xf>
    <xf numFmtId="0" fontId="0" fillId="0" borderId="7" pivotButton="0" quotePrefix="0" xfId="0"/>
    <xf numFmtId="0" fontId="0" fillId="0" borderId="9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1" fillId="2" borderId="5" applyAlignment="1" pivotButton="0" quotePrefix="0" xfId="0">
      <alignment horizontal="left"/>
    </xf>
    <xf numFmtId="164" fontId="6" fillId="2" borderId="6" applyAlignment="1" applyProtection="1" pivotButton="0" quotePrefix="0" xfId="0">
      <alignment horizontal="left" vertical="center"/>
      <protection locked="0" hidden="0"/>
    </xf>
    <xf numFmtId="164" fontId="21" fillId="2" borderId="6" applyAlignment="1" applyProtection="1" pivotButton="0" quotePrefix="0" xfId="0">
      <alignment horizontal="left" vertical="center"/>
      <protection locked="0" hidden="0"/>
    </xf>
    <xf numFmtId="164" fontId="7" fillId="2" borderId="8" applyAlignment="1" applyProtection="1" pivotButton="0" quotePrefix="0" xfId="0">
      <alignment horizontal="center" vertical="center"/>
      <protection locked="0" hidden="0"/>
    </xf>
    <xf numFmtId="0" fontId="1" fillId="2" borderId="5" applyAlignment="1" applyProtection="1" pivotButton="0" quotePrefix="0" xfId="0">
      <alignment horizontal="left" vertical="center" wrapText="1"/>
      <protection locked="0" hidden="0"/>
    </xf>
    <xf numFmtId="0" fontId="1" fillId="2" borderId="10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8" pivotButton="0" quotePrefix="0" xfId="0"/>
    <xf numFmtId="0" fontId="1" fillId="2" borderId="5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center" vertical="center"/>
    </xf>
    <xf numFmtId="0" fontId="1" fillId="2" borderId="11" applyAlignment="1" pivotButton="0" quotePrefix="0" xfId="0">
      <alignment horizontal="left" vertical="center" wrapText="1"/>
    </xf>
    <xf numFmtId="0" fontId="0" fillId="0" borderId="14" pivotButton="0" quotePrefix="0" xfId="0"/>
    <xf numFmtId="0" fontId="1" fillId="2" borderId="12" applyAlignment="1" applyProtection="1" pivotButton="0" quotePrefix="0" xfId="0">
      <alignment horizontal="left" vertical="center" wrapTex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1" fillId="2" borderId="12" applyAlignment="1" pivotButton="0" quotePrefix="0" xfId="0">
      <alignment horizontal="center" vertical="center" wrapText="1"/>
    </xf>
    <xf numFmtId="0" fontId="0" fillId="0" borderId="15" pivotButton="0" quotePrefix="0" xfId="0"/>
    <xf numFmtId="0" fontId="20" fillId="2" borderId="65" applyAlignment="1" applyProtection="1" pivotButton="0" quotePrefix="0" xfId="0">
      <alignment horizontal="left" vertical="center"/>
      <protection locked="0" hidden="0"/>
    </xf>
    <xf numFmtId="0" fontId="0" fillId="0" borderId="16" applyProtection="1" pivotButton="0" quotePrefix="0" xfId="0">
      <protection locked="0" hidden="0"/>
    </xf>
    <xf numFmtId="0" fontId="0" fillId="0" borderId="45" pivotButton="0" quotePrefix="0" xfId="0"/>
    <xf numFmtId="166" fontId="24" fillId="4" borderId="18" applyAlignment="1" applyProtection="1" pivotButton="0" quotePrefix="0" xfId="0">
      <alignment horizontal="center" vertical="center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47" pivotButton="0" quotePrefix="0" xfId="0"/>
    <xf numFmtId="0" fontId="0" fillId="0" borderId="44" pivotButton="0" quotePrefix="0" xfId="0"/>
    <xf numFmtId="167" fontId="28" fillId="4" borderId="2" applyAlignment="1" applyProtection="1" pivotButton="0" quotePrefix="0" xfId="0">
      <alignment horizontal="center"/>
      <protection locked="0" hidden="0"/>
    </xf>
    <xf numFmtId="169" fontId="30" fillId="5" borderId="21" applyAlignment="1" applyProtection="1" pivotButton="0" quotePrefix="0" xfId="0">
      <alignment horizontal="center" vertical="center"/>
      <protection locked="0" hidden="0"/>
    </xf>
    <xf numFmtId="164" fontId="30" fillId="5" borderId="22" applyAlignment="1" applyProtection="1" pivotButton="0" quotePrefix="0" xfId="0">
      <alignment horizontal="center" vertical="center"/>
      <protection locked="0" hidden="0"/>
    </xf>
    <xf numFmtId="164" fontId="30" fillId="5" borderId="23" applyAlignment="1" applyProtection="1" pivotButton="0" quotePrefix="0" xfId="0">
      <alignment horizontal="center" vertical="center"/>
      <protection locked="0" hidden="0"/>
    </xf>
    <xf numFmtId="164" fontId="0" fillId="0" borderId="22" applyAlignment="1" applyProtection="1" pivotButton="0" quotePrefix="0" xfId="0">
      <alignment horizontal="left" vertical="center"/>
      <protection locked="0" hidden="0"/>
    </xf>
    <xf numFmtId="164" fontId="0" fillId="0" borderId="24" applyAlignment="1" applyProtection="1" pivotButton="0" quotePrefix="0" xfId="0">
      <alignment horizontal="center" vertical="center"/>
      <protection locked="0" hidden="0"/>
    </xf>
    <xf numFmtId="164" fontId="13" fillId="0" borderId="25" applyAlignment="1" pivotButton="0" quotePrefix="0" xfId="0">
      <alignment horizontal="center" vertical="center"/>
    </xf>
    <xf numFmtId="164" fontId="13" fillId="5" borderId="18" applyAlignment="1" pivotButton="0" quotePrefix="0" xfId="0">
      <alignment horizontal="center" vertical="center" wrapText="1"/>
    </xf>
    <xf numFmtId="164" fontId="9" fillId="0" borderId="18" applyAlignment="1" pivotButton="0" quotePrefix="0" xfId="0">
      <alignment horizontal="center" vertical="center" wrapText="1"/>
    </xf>
    <xf numFmtId="166" fontId="0" fillId="0" borderId="0" applyProtection="1" pivotButton="0" quotePrefix="0" xfId="0">
      <protection locked="0" hidden="0"/>
    </xf>
    <xf numFmtId="167" fontId="12" fillId="4" borderId="5" applyAlignment="1" applyProtection="1" pivotButton="0" quotePrefix="0" xfId="0">
      <alignment horizontal="center"/>
      <protection locked="0" hidden="0"/>
    </xf>
    <xf numFmtId="164" fontId="30" fillId="5" borderId="21" applyAlignment="1" applyProtection="1" pivotButton="0" quotePrefix="0" xfId="0">
      <alignment horizontal="center" vertical="center"/>
      <protection locked="0" hidden="0"/>
    </xf>
    <xf numFmtId="164" fontId="0" fillId="0" borderId="27" applyAlignment="1" applyProtection="1" pivotButton="0" quotePrefix="0" xfId="0">
      <alignment horizontal="left" vertical="center"/>
      <protection locked="0" hidden="0"/>
    </xf>
    <xf numFmtId="164" fontId="0" fillId="0" borderId="29" applyAlignment="1" applyProtection="1" pivotButton="0" quotePrefix="0" xfId="0">
      <alignment horizontal="center" vertical="center"/>
      <protection locked="0" hidden="0"/>
    </xf>
    <xf numFmtId="164" fontId="0" fillId="0" borderId="0" applyProtection="1" pivotButton="0" quotePrefix="0" xfId="0">
      <protection locked="0" hidden="0"/>
    </xf>
    <xf numFmtId="164" fontId="0" fillId="0" borderId="31" applyAlignment="1" applyProtection="1" pivotButton="0" quotePrefix="0" xfId="0">
      <alignment horizontal="left" vertical="center"/>
      <protection locked="0" hidden="0"/>
    </xf>
    <xf numFmtId="164" fontId="0" fillId="0" borderId="32" applyAlignment="1" applyProtection="1" pivotButton="0" quotePrefix="0" xfId="0">
      <alignment horizontal="center" vertical="center"/>
      <protection locked="0" hidden="0"/>
    </xf>
    <xf numFmtId="164" fontId="0" fillId="0" borderId="33" applyAlignment="1" applyProtection="1" pivotButton="0" quotePrefix="0" xfId="0">
      <alignment horizontal="left" vertical="center"/>
      <protection locked="0" hidden="0"/>
    </xf>
    <xf numFmtId="164" fontId="0" fillId="0" borderId="34" applyAlignment="1" applyProtection="1" pivotButton="0" quotePrefix="0" xfId="0">
      <alignment horizontal="center" vertical="center"/>
      <protection locked="0" hidden="0"/>
    </xf>
    <xf numFmtId="164" fontId="30" fillId="5" borderId="30" applyAlignment="1" applyProtection="1" pivotButton="0" quotePrefix="0" xfId="0">
      <alignment horizontal="center" vertical="center"/>
      <protection locked="0" hidden="0"/>
    </xf>
    <xf numFmtId="164" fontId="30" fillId="5" borderId="27" applyAlignment="1" applyProtection="1" pivotButton="0" quotePrefix="0" xfId="0">
      <alignment horizontal="center" vertical="center"/>
      <protection locked="0" hidden="0"/>
    </xf>
    <xf numFmtId="164" fontId="30" fillId="5" borderId="28" applyAlignment="1" applyProtection="1" pivotButton="0" quotePrefix="0" xfId="0">
      <alignment horizontal="center" vertical="center"/>
      <protection locked="0" hidden="0"/>
    </xf>
    <xf numFmtId="164" fontId="0" fillId="0" borderId="35" applyAlignment="1" applyProtection="1" pivotButton="0" quotePrefix="0" xfId="0">
      <alignment horizontal="center" vertical="center"/>
      <protection locked="0" hidden="0"/>
    </xf>
    <xf numFmtId="0" fontId="4" fillId="4" borderId="18" applyAlignment="1" pivotButton="0" quotePrefix="0" xfId="0">
      <alignment horizontal="right" vertical="center"/>
    </xf>
    <xf numFmtId="0" fontId="0" fillId="0" borderId="37" pivotButton="0" quotePrefix="0" xfId="0"/>
    <xf numFmtId="0" fontId="0" fillId="0" borderId="25" pivotButton="0" quotePrefix="0" xfId="0"/>
    <xf numFmtId="164" fontId="16" fillId="0" borderId="17" applyAlignment="1" pivotButton="0" quotePrefix="0" xfId="0">
      <alignment horizontal="center" vertical="center" wrapText="1"/>
    </xf>
    <xf numFmtId="164" fontId="22" fillId="0" borderId="17" applyAlignment="1" pivotButton="0" quotePrefix="0" xfId="0">
      <alignment horizontal="center" vertical="center" wrapText="1"/>
    </xf>
    <xf numFmtId="0" fontId="0" fillId="0" borderId="39" pivotButton="0" quotePrefix="0" xfId="0"/>
    <xf numFmtId="164" fontId="2" fillId="0" borderId="42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42" pivotButton="0" quotePrefix="0" xfId="0"/>
    <xf numFmtId="164" fontId="17" fillId="0" borderId="18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/>
    </xf>
    <xf numFmtId="164" fontId="17" fillId="0" borderId="18" applyAlignment="1" applyProtection="1" pivotButton="0" quotePrefix="0" xfId="0">
      <alignment horizontal="center" vertical="center" wrapText="1"/>
      <protection locked="0" hidden="0"/>
    </xf>
    <xf numFmtId="0" fontId="0" fillId="0" borderId="42" applyProtection="1" pivotButton="0" quotePrefix="0" xfId="0">
      <protection locked="0" hidden="0"/>
    </xf>
    <xf numFmtId="0" fontId="0" fillId="0" borderId="47" applyProtection="1" pivotButton="0" quotePrefix="0" xfId="0">
      <protection locked="0" hidden="0"/>
    </xf>
    <xf numFmtId="0" fontId="0" fillId="0" borderId="45" applyProtection="1" pivotButton="0" quotePrefix="0" xfId="0">
      <protection locked="0" hidden="0"/>
    </xf>
    <xf numFmtId="0" fontId="18" fillId="0" borderId="25" applyAlignment="1" pivotButton="0" quotePrefix="0" xfId="0">
      <alignment horizontal="center" vertical="center"/>
    </xf>
    <xf numFmtId="164" fontId="19" fillId="0" borderId="18" applyAlignment="1" pivotButton="0" quotePrefix="0" xfId="0">
      <alignment horizontal="center" vertical="center" wrapText="1"/>
    </xf>
    <xf numFmtId="165" fontId="17" fillId="0" borderId="18" applyAlignment="1" pivotButton="0" quotePrefix="0" xfId="0">
      <alignment horizontal="center" vertical="center" wrapText="1"/>
    </xf>
    <xf numFmtId="0" fontId="4" fillId="5" borderId="17" applyAlignment="1" pivotButton="0" quotePrefix="0" xfId="0">
      <alignment horizontal="center"/>
    </xf>
    <xf numFmtId="168" fontId="6" fillId="2" borderId="3" applyAlignment="1" applyProtection="1" pivotButton="0" quotePrefix="0" xfId="0">
      <alignment horizontal="left"/>
      <protection locked="0" hidden="0"/>
    </xf>
    <xf numFmtId="0" fontId="0" fillId="0" borderId="54" applyProtection="1" pivotButton="0" quotePrefix="0" xfId="0">
      <protection locked="0" hidden="0"/>
    </xf>
    <xf numFmtId="0" fontId="9" fillId="3" borderId="18" applyAlignment="1" pivotButton="0" quotePrefix="0" xfId="0">
      <alignment horizontal="center" vertical="center"/>
    </xf>
    <xf numFmtId="167" fontId="12" fillId="4" borderId="3" applyAlignment="1" pivotButton="0" quotePrefix="0" xfId="0">
      <alignment horizontal="center"/>
    </xf>
    <xf numFmtId="0" fontId="0" fillId="0" borderId="54" pivotButton="0" quotePrefix="0" xfId="0"/>
    <xf numFmtId="164" fontId="0" fillId="5" borderId="30" applyAlignment="1" applyProtection="1" pivotButton="0" quotePrefix="0" xfId="0">
      <alignment horizontal="center" vertical="center"/>
      <protection locked="0" hidden="0"/>
    </xf>
    <xf numFmtId="164" fontId="0" fillId="5" borderId="27" applyAlignment="1" applyProtection="1" pivotButton="0" quotePrefix="0" xfId="0">
      <alignment horizontal="center" vertical="center"/>
      <protection locked="0" hidden="0"/>
    </xf>
    <xf numFmtId="164" fontId="0" fillId="5" borderId="28" applyAlignment="1" applyProtection="1" pivotButton="0" quotePrefix="0" xfId="0">
      <alignment horizontal="center" vertical="center"/>
      <protection locked="0" hidden="0"/>
    </xf>
    <xf numFmtId="164" fontId="0" fillId="0" borderId="22" applyAlignment="1" applyProtection="1" pivotButton="0" quotePrefix="0" xfId="0">
      <alignment horizontal="center" vertical="center"/>
      <protection locked="0" hidden="0"/>
    </xf>
    <xf numFmtId="167" fontId="12" fillId="4" borderId="10" applyAlignment="1" pivotButton="0" quotePrefix="0" xfId="0">
      <alignment horizontal="center"/>
    </xf>
    <xf numFmtId="164" fontId="0" fillId="0" borderId="27" applyAlignment="1" applyProtection="1" pivotButton="0" quotePrefix="0" xfId="0">
      <alignment horizontal="center" vertical="center"/>
      <protection locked="0" hidden="0"/>
    </xf>
    <xf numFmtId="164" fontId="0" fillId="0" borderId="31" applyAlignment="1" applyProtection="1" pivotButton="0" quotePrefix="0" xfId="0">
      <alignment horizontal="center" vertical="center"/>
      <protection locked="0" hidden="0"/>
    </xf>
    <xf numFmtId="164" fontId="0" fillId="0" borderId="33" applyAlignment="1" applyProtection="1" pivotButton="0" quotePrefix="0" xfId="0">
      <alignment horizontal="center" vertical="center"/>
      <protection locked="0" hidden="0"/>
    </xf>
    <xf numFmtId="164" fontId="14" fillId="5" borderId="27" applyAlignment="1" applyProtection="1" pivotButton="0" quotePrefix="0" xfId="0">
      <alignment horizontal="center" vertical="center"/>
      <protection locked="0" hidden="0"/>
    </xf>
    <xf numFmtId="164" fontId="14" fillId="5" borderId="28" applyAlignment="1" applyProtection="1" pivotButton="0" quotePrefix="0" xfId="0">
      <alignment horizontal="center" vertical="center"/>
      <protection locked="0" hidden="0"/>
    </xf>
    <xf numFmtId="167" fontId="12" fillId="4" borderId="65" applyAlignment="1" pivotButton="0" quotePrefix="0" xfId="0">
      <alignment horizontal="center"/>
    </xf>
    <xf numFmtId="0" fontId="0" fillId="0" borderId="16" pivotButton="0" quotePrefix="0" xfId="0"/>
    <xf numFmtId="164" fontId="0" fillId="0" borderId="17" applyAlignment="1" pivotButton="0" quotePrefix="0" xfId="0">
      <alignment horizontal="center" vertical="center" wrapText="1"/>
    </xf>
    <xf numFmtId="164" fontId="2" fillId="0" borderId="17" applyAlignment="1" pivotButton="0" quotePrefix="0" xfId="0">
      <alignment horizontal="center" vertical="center" wrapText="1"/>
    </xf>
    <xf numFmtId="0" fontId="9" fillId="0" borderId="67" applyAlignment="1" pivotButton="0" quotePrefix="0" xfId="0">
      <alignment horizontal="center" vertical="center" wrapText="1"/>
    </xf>
    <xf numFmtId="0" fontId="0" fillId="0" borderId="56" pivotButton="0" quotePrefix="0" xfId="0"/>
    <xf numFmtId="0" fontId="9" fillId="0" borderId="67" applyAlignment="1" pivotButton="0" quotePrefix="0" xfId="0">
      <alignment horizontal="center" vertical="center"/>
    </xf>
    <xf numFmtId="0" fontId="18" fillId="0" borderId="67" applyAlignment="1" pivotButton="0" quotePrefix="0" xfId="0">
      <alignment horizontal="center" vertical="center"/>
    </xf>
    <xf numFmtId="0" fontId="2" fillId="0" borderId="67" applyAlignment="1" pivotButton="0" quotePrefix="0" xfId="0">
      <alignment horizontal="center" vertical="center"/>
    </xf>
    <xf numFmtId="167" fontId="12" fillId="4" borderId="2" applyAlignment="1" pivotButton="0" quotePrefix="0" xfId="0">
      <alignment horizontal="center"/>
    </xf>
    <xf numFmtId="164" fontId="0" fillId="5" borderId="21" applyAlignment="1" applyProtection="1" pivotButton="0" quotePrefix="0" xfId="0">
      <alignment horizontal="center" vertical="center"/>
      <protection locked="0" hidden="0"/>
    </xf>
    <xf numFmtId="164" fontId="16" fillId="0" borderId="22" applyAlignment="1" applyProtection="1" pivotButton="0" quotePrefix="0" xfId="0">
      <alignment horizontal="left" vertical="center"/>
      <protection locked="0" hidden="0"/>
    </xf>
    <xf numFmtId="167" fontId="12" fillId="4" borderId="5" applyAlignment="1" pivotButton="0" quotePrefix="0" xfId="0">
      <alignment horizontal="center"/>
    </xf>
    <xf numFmtId="165" fontId="17" fillId="0" borderId="17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left"/>
    </xf>
    <xf numFmtId="164" fontId="0" fillId="5" borderId="22" applyAlignment="1" applyProtection="1" pivotButton="0" quotePrefix="0" xfId="0">
      <alignment horizontal="center" vertical="center"/>
      <protection locked="0" hidden="0"/>
    </xf>
    <xf numFmtId="164" fontId="0" fillId="5" borderId="23" applyAlignment="1" applyProtection="1" pivotButton="0" quotePrefix="0" xfId="0">
      <alignment horizontal="center" vertical="center"/>
      <protection locked="0" hidden="0"/>
    </xf>
    <xf numFmtId="164" fontId="27" fillId="0" borderId="31" applyAlignment="1" applyProtection="1" pivotButton="0" quotePrefix="0" xfId="0">
      <alignment horizontal="left" vertical="top"/>
      <protection locked="0" hidden="0"/>
    </xf>
    <xf numFmtId="164" fontId="13" fillId="0" borderId="25" applyAlignment="1" pivotButton="0" quotePrefix="0" xfId="0">
      <alignment horizontal="center" vertical="top"/>
    </xf>
    <xf numFmtId="167" fontId="28" fillId="4" borderId="5" applyAlignment="1" pivotButton="0" quotePrefix="0" xfId="0">
      <alignment horizontal="center"/>
    </xf>
    <xf numFmtId="164" fontId="23" fillId="0" borderId="31" applyAlignment="1" applyProtection="1" pivotButton="0" quotePrefix="0" xfId="0">
      <alignment horizontal="center" vertical="center" wrapText="1"/>
      <protection locked="0" hidden="0"/>
    </xf>
    <xf numFmtId="164" fontId="0" fillId="5" borderId="26" applyAlignment="1" applyProtection="1" pivotButton="0" quotePrefix="0" xfId="0">
      <alignment horizontal="center" vertical="center"/>
      <protection locked="0" hidden="0"/>
    </xf>
    <xf numFmtId="164" fontId="23" fillId="0" borderId="31" applyAlignment="1" applyProtection="1" pivotButton="0" quotePrefix="0" xfId="0">
      <alignment horizontal="left" vertical="center"/>
      <protection locked="0" hidden="0"/>
    </xf>
    <xf numFmtId="164" fontId="23" fillId="0" borderId="33" applyAlignment="1" applyProtection="1" pivotButton="0" quotePrefix="0" xfId="0">
      <alignment horizontal="left" vertical="center"/>
      <protection locked="0" hidden="0"/>
    </xf>
    <xf numFmtId="164" fontId="0" fillId="5" borderId="52" applyAlignment="1" applyProtection="1" pivotButton="0" quotePrefix="0" xfId="0">
      <alignment horizontal="center" vertical="center"/>
      <protection locked="0" hidden="0"/>
    </xf>
    <xf numFmtId="164" fontId="0" fillId="5" borderId="53" applyAlignment="1" applyProtection="1" pivotButton="0" quotePrefix="0" xfId="0">
      <alignment horizontal="center" vertical="center"/>
      <protection locked="0" hidden="0"/>
    </xf>
    <xf numFmtId="164" fontId="29" fillId="5" borderId="18" applyAlignment="1" pivotButton="0" quotePrefix="0" xfId="0">
      <alignment horizontal="center" vertical="center" wrapText="1"/>
    </xf>
    <xf numFmtId="164" fontId="0" fillId="0" borderId="31" applyAlignment="1" applyProtection="1" pivotButton="0" quotePrefix="0" xfId="0">
      <alignment horizontal="left" vertical="top"/>
      <protection locked="0" hidden="0"/>
    </xf>
    <xf numFmtId="164" fontId="16" fillId="0" borderId="27" applyAlignment="1" applyProtection="1" pivotButton="0" quotePrefix="0" xfId="0">
      <alignment horizontal="center" vertical="center"/>
      <protection locked="0" hidden="0"/>
    </xf>
    <xf numFmtId="164" fontId="16" fillId="0" borderId="31" applyAlignment="1" applyProtection="1" pivotButton="0" quotePrefix="0" xfId="0">
      <alignment horizontal="left" vertical="center"/>
      <protection locked="0" hidden="0"/>
    </xf>
    <xf numFmtId="164" fontId="16" fillId="0" borderId="31" applyAlignment="1" applyProtection="1" pivotButton="0" quotePrefix="0" xfId="0">
      <alignment horizontal="center" vertical="center"/>
      <protection locked="0" hidden="0"/>
    </xf>
    <xf numFmtId="164" fontId="26" fillId="0" borderId="27" applyAlignment="1" applyProtection="1" pivotButton="0" quotePrefix="0" xfId="0">
      <alignment horizontal="left" vertical="center"/>
      <protection locked="0" hidden="0"/>
    </xf>
    <xf numFmtId="164" fontId="16" fillId="0" borderId="33" applyAlignment="1" applyProtection="1" pivotButton="0" quotePrefix="0" xfId="0">
      <alignment horizontal="left" vertical="center"/>
      <protection locked="0" hidden="0"/>
    </xf>
    <xf numFmtId="164" fontId="0" fillId="5" borderId="31" applyAlignment="1" applyProtection="1" pivotButton="0" quotePrefix="0" xfId="0">
      <alignment horizontal="center" vertical="center"/>
      <protection locked="0" hidden="0"/>
    </xf>
    <xf numFmtId="164" fontId="0" fillId="5" borderId="33" applyAlignment="1" applyProtection="1" pivotButton="0" quotePrefix="0" xfId="0">
      <alignment horizontal="center" vertical="center"/>
      <protection locked="0" hidden="0"/>
    </xf>
    <xf numFmtId="164" fontId="0" fillId="5" borderId="31" applyAlignment="1" applyProtection="1" pivotButton="0" quotePrefix="0" xfId="0">
      <alignment horizontal="left" vertical="center"/>
      <protection locked="0" hidden="0"/>
    </xf>
    <xf numFmtId="164" fontId="0" fillId="5" borderId="33" applyAlignment="1" applyProtection="1" pivotButton="0" quotePrefix="0" xfId="0">
      <alignment horizontal="left" vertical="center"/>
      <protection locked="0" hidden="0"/>
    </xf>
    <xf numFmtId="164" fontId="0" fillId="5" borderId="27" applyAlignment="1" applyProtection="1" pivotButton="0" quotePrefix="0" xfId="0">
      <alignment horizontal="left" vertical="center"/>
      <protection locked="0" hidden="0"/>
    </xf>
    <xf numFmtId="164" fontId="0" fillId="5" borderId="31" applyAlignment="1" applyProtection="1" pivotButton="0" quotePrefix="0" xfId="0">
      <alignment horizontal="left" vertical="top"/>
      <protection locked="0" hidden="0"/>
    </xf>
    <xf numFmtId="164" fontId="2" fillId="5" borderId="31" applyAlignment="1" applyProtection="1" pivotButton="0" quotePrefix="0" xfId="0">
      <alignment horizontal="center" vertical="center"/>
      <protection locked="0" hidden="0"/>
    </xf>
    <xf numFmtId="165" fontId="17" fillId="5" borderId="47" applyAlignment="1" pivotButton="0" quotePrefix="0" xfId="0">
      <alignment horizontal="center" vertical="center" wrapText="1"/>
    </xf>
    <xf numFmtId="165" fontId="17" fillId="5" borderId="45" applyAlignment="1" pivotButton="0" quotePrefix="0" xfId="0">
      <alignment horizontal="center" vertical="center" wrapText="1"/>
    </xf>
    <xf numFmtId="165" fontId="17" fillId="5" borderId="17" applyAlignment="1" pivotButton="0" quotePrefix="0" xfId="0">
      <alignment horizontal="center" vertical="center" wrapText="1"/>
    </xf>
  </cellXfs>
  <cellStyles count="1">
    <cellStyle name="Normal" xfId="0" builtinId="0"/>
  </cellStyles>
  <dxfs count="320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theme="8" tint="0.3999450666829432"/>
        </patternFill>
      </fill>
    </dxf>
    <dxf>
      <font>
        <b val="1"/>
        <color rgb="FF00B050"/>
      </font>
      <fill>
        <patternFill>
          <bgColor rgb="FFFFFF00"/>
        </patternFill>
      </fill>
    </dxf>
    <dxf>
      <font>
        <b val="1"/>
        <color rgb="FF003399"/>
      </font>
      <fill>
        <patternFill>
          <bgColor rgb="FF92D05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i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theme="8" tint="0.3999450666829432"/>
        </patternFill>
      </fill>
    </dxf>
    <dxf>
      <font>
        <b val="1"/>
        <color rgb="FF00B050"/>
      </font>
      <fill>
        <patternFill>
          <bgColor rgb="FFFFFF00"/>
        </patternFill>
      </fill>
    </dxf>
    <dxf>
      <font>
        <b val="1"/>
        <color rgb="FF003399"/>
      </font>
      <fill>
        <patternFill>
          <bgColor rgb="FF92D05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i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theme="8" tint="0.3999450666829432"/>
        </patternFill>
      </fill>
    </dxf>
    <dxf>
      <font>
        <b val="1"/>
        <color rgb="FF00B050"/>
      </font>
      <fill>
        <patternFill>
          <bgColor rgb="FFFFFF00"/>
        </patternFill>
      </fill>
    </dxf>
    <dxf>
      <font>
        <b val="1"/>
        <color rgb="FF003399"/>
      </font>
      <fill>
        <patternFill>
          <bgColor rgb="FF92D05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i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theme="8" tint="0.3999450666829432"/>
        </patternFill>
      </fill>
    </dxf>
    <dxf>
      <font>
        <b val="1"/>
        <color rgb="FF00B050"/>
      </font>
      <fill>
        <patternFill>
          <bgColor rgb="FFFFFF00"/>
        </patternFill>
      </fill>
    </dxf>
    <dxf>
      <font>
        <b val="1"/>
        <color rgb="FF003399"/>
      </font>
      <fill>
        <patternFill>
          <bgColor rgb="FF92D05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i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theme="8" tint="0.3999450666829432"/>
        </patternFill>
      </fill>
    </dxf>
    <dxf>
      <font>
        <b val="1"/>
        <color rgb="FF00B050"/>
      </font>
      <fill>
        <patternFill>
          <bgColor rgb="FFFFFF00"/>
        </patternFill>
      </fill>
    </dxf>
    <dxf>
      <font>
        <b val="1"/>
        <color rgb="FF003399"/>
      </font>
      <fill>
        <patternFill>
          <bgColor rgb="FF92D05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i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theme="8" tint="0.3999450666829432"/>
        </patternFill>
      </fill>
    </dxf>
    <dxf>
      <font>
        <b val="1"/>
        <color rgb="FF00B050"/>
      </font>
      <fill>
        <patternFill>
          <bgColor rgb="FFFFFF00"/>
        </patternFill>
      </fill>
    </dxf>
    <dxf>
      <font>
        <b val="1"/>
        <color rgb="FF003399"/>
      </font>
      <fill>
        <patternFill>
          <bgColor rgb="FF92D05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i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theme="8" tint="0.3999450666829432"/>
        </patternFill>
      </fill>
    </dxf>
    <dxf>
      <font>
        <b val="1"/>
        <color rgb="FF00B050"/>
      </font>
      <fill>
        <patternFill>
          <bgColor rgb="FFFFFF00"/>
        </patternFill>
      </fill>
    </dxf>
    <dxf>
      <font>
        <b val="1"/>
        <color rgb="FF003399"/>
      </font>
      <fill>
        <patternFill>
          <bgColor rgb="FF92D05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i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theme="8" tint="0.3999450666829432"/>
        </patternFill>
      </fill>
    </dxf>
    <dxf>
      <font>
        <b val="1"/>
        <color rgb="FF00B050"/>
      </font>
      <fill>
        <patternFill>
          <bgColor rgb="FFFFFF00"/>
        </patternFill>
      </fill>
    </dxf>
    <dxf>
      <font>
        <b val="1"/>
        <color rgb="FF003399"/>
      </font>
      <fill>
        <patternFill>
          <bgColor rgb="FF92D05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i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theme="8" tint="0.3999450666829432"/>
        </patternFill>
      </fill>
    </dxf>
    <dxf>
      <font>
        <b val="1"/>
        <color rgb="FF00B050"/>
      </font>
      <fill>
        <patternFill>
          <bgColor rgb="FFFFFF00"/>
        </patternFill>
      </fill>
    </dxf>
    <dxf>
      <font>
        <b val="1"/>
        <color rgb="FF003399"/>
      </font>
      <fill>
        <patternFill>
          <bgColor rgb="FF92D05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i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theme="8" tint="0.3999450666829432"/>
        </patternFill>
      </fill>
    </dxf>
    <dxf>
      <font>
        <b val="1"/>
        <color rgb="FF00B050"/>
      </font>
      <fill>
        <patternFill>
          <bgColor rgb="FFFFFF00"/>
        </patternFill>
      </fill>
    </dxf>
    <dxf>
      <font>
        <b val="1"/>
        <color rgb="FF003399"/>
      </font>
      <fill>
        <patternFill>
          <bgColor rgb="FF92D05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i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theme="8" tint="0.3999450666829432"/>
        </patternFill>
      </fill>
    </dxf>
    <dxf>
      <font>
        <b val="1"/>
        <color rgb="FF00B050"/>
      </font>
      <fill>
        <patternFill>
          <bgColor rgb="FFFFFF00"/>
        </patternFill>
      </fill>
    </dxf>
    <dxf>
      <font>
        <b val="1"/>
        <color rgb="FF003399"/>
      </font>
      <fill>
        <patternFill>
          <bgColor rgb="FF92D05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i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theme="8" tint="0.3999450666829432"/>
        </patternFill>
      </fill>
    </dxf>
    <dxf>
      <font>
        <b val="1"/>
        <color rgb="FF00B05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3399"/>
      </font>
      <fill>
        <patternFill>
          <bgColor rgb="FF92D05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theme="8" tint="0.3999450666829432"/>
        </patternFill>
      </fill>
    </dxf>
    <dxf>
      <font>
        <b val="1"/>
        <color rgb="FF00B05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i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314326</colOff>
      <row>0</row>
      <rowOff>142875</rowOff>
    </from>
    <to>
      <col>2</col>
      <colOff>447675</colOff>
      <row>3</row>
      <rowOff>104775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23926" y="142875"/>
          <a:ext cx="742949" cy="6000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314326</colOff>
      <row>0</row>
      <rowOff>142875</rowOff>
    </from>
    <to>
      <col>3</col>
      <colOff>47625</colOff>
      <row>3</row>
      <rowOff>152400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23926" y="142875"/>
          <a:ext cx="733424" cy="647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1</col>
      <colOff>314326</colOff>
      <row>0</row>
      <rowOff>142875</rowOff>
    </from>
    <to>
      <col>3</col>
      <colOff>47625</colOff>
      <row>3</row>
      <rowOff>152400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23926" y="142875"/>
          <a:ext cx="733424" cy="647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2</col>
      <colOff>28576</colOff>
      <row>0</row>
      <rowOff>133350</rowOff>
    </from>
    <to>
      <col>3</col>
      <colOff>285750</colOff>
      <row>3</row>
      <rowOff>142875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247776" y="133350"/>
          <a:ext cx="704849" cy="647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1</col>
      <colOff>381001</colOff>
      <row>0</row>
      <rowOff>85725</rowOff>
    </from>
    <to>
      <col>3</col>
      <colOff>28575</colOff>
      <row>3</row>
      <rowOff>95250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1" y="85725"/>
          <a:ext cx="866774" cy="647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1</col>
      <colOff>381001</colOff>
      <row>0</row>
      <rowOff>85725</rowOff>
    </from>
    <to>
      <col>3</col>
      <colOff>28575</colOff>
      <row>3</row>
      <rowOff>95250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1" y="85725"/>
          <a:ext cx="866774" cy="647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1</col>
      <colOff>381001</colOff>
      <row>0</row>
      <rowOff>85725</rowOff>
    </from>
    <to>
      <col>3</col>
      <colOff>28575</colOff>
      <row>3</row>
      <rowOff>95250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1" y="85725"/>
          <a:ext cx="866774" cy="647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1</col>
      <colOff>381001</colOff>
      <row>0</row>
      <rowOff>85725</rowOff>
    </from>
    <to>
      <col>3</col>
      <colOff>28575</colOff>
      <row>3</row>
      <rowOff>95250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1" y="85725"/>
          <a:ext cx="866774" cy="647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 editAs="oneCell">
    <from>
      <col>1</col>
      <colOff>381001</colOff>
      <row>0</row>
      <rowOff>85725</rowOff>
    </from>
    <to>
      <col>3</col>
      <colOff>28575</colOff>
      <row>3</row>
      <rowOff>95250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1" y="85725"/>
          <a:ext cx="866774" cy="647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 editAs="oneCell">
    <from>
      <col>1</col>
      <colOff>381001</colOff>
      <row>0</row>
      <rowOff>85725</rowOff>
    </from>
    <to>
      <col>3</col>
      <colOff>28575</colOff>
      <row>3</row>
      <rowOff>95250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1" y="85725"/>
          <a:ext cx="866774" cy="647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11.xml><?xml version="1.0" encoding="utf-8"?>
<wsDr xmlns="http://schemas.openxmlformats.org/drawingml/2006/spreadsheetDrawing">
  <twoCellAnchor editAs="oneCell">
    <from>
      <col>1</col>
      <colOff>381001</colOff>
      <row>0</row>
      <rowOff>85725</rowOff>
    </from>
    <to>
      <col>3</col>
      <colOff>28575</colOff>
      <row>3</row>
      <rowOff>95250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1" y="85725"/>
          <a:ext cx="866774" cy="647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12.xml><?xml version="1.0" encoding="utf-8"?>
<wsDr xmlns="http://schemas.openxmlformats.org/drawingml/2006/spreadsheetDrawing">
  <twoCellAnchor editAs="oneCell">
    <from>
      <col>1</col>
      <colOff>381001</colOff>
      <row>0</row>
      <rowOff>85725</rowOff>
    </from>
    <to>
      <col>3</col>
      <colOff>28575</colOff>
      <row>3</row>
      <rowOff>95250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1" y="85725"/>
          <a:ext cx="866774" cy="647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4"/>
  <sheetViews>
    <sheetView workbookViewId="0">
      <selection activeCell="K6" sqref="K6:N6"/>
    </sheetView>
  </sheetViews>
  <sheetFormatPr baseColWidth="8" defaultRowHeight="15"/>
  <cols>
    <col width="6.85546875" customWidth="1" min="3" max="3"/>
    <col width="6" customWidth="1" min="4" max="4"/>
    <col width="9.7109375" customWidth="1" min="13" max="13"/>
    <col width="9.140625" customWidth="1" min="14" max="14"/>
    <col width="11.28515625" customWidth="1" min="16" max="16"/>
    <col width="12.140625" customWidth="1" min="19" max="19"/>
    <col hidden="1" width="12.140625" customWidth="1" min="20" max="20"/>
    <col width="12.140625" customWidth="1" min="21" max="21"/>
  </cols>
  <sheetData>
    <row r="1">
      <c r="A1" s="52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4" t="n"/>
    </row>
    <row r="2" ht="15.75" customHeight="1">
      <c r="A2" s="286" t="inlineStr">
        <is>
          <t>GOVERNO DO ESTADO DO ESPÍRITO SANTO</t>
        </is>
      </c>
      <c r="N2" s="287" t="n"/>
    </row>
    <row r="3" ht="19.5" customHeight="1">
      <c r="A3" s="286" t="inlineStr">
        <is>
          <t>SUPERINTENDÊNCIA REGIONAL DE EDUCAÇÃO DE CARAPINA</t>
        </is>
      </c>
      <c r="N3" s="287" t="n"/>
    </row>
    <row r="4" ht="25.5" customHeight="1">
      <c r="A4" s="288" t="inlineStr">
        <is>
          <t>CARTÃO DE PONTO</t>
        </is>
      </c>
      <c r="N4" s="287" t="n"/>
      <c r="Q4" s="289" t="n">
        <v>0</v>
      </c>
      <c r="R4" t="inlineStr">
        <is>
          <t>saldo anterior</t>
        </is>
      </c>
    </row>
    <row r="5" ht="6.75" customHeight="1" thickBot="1">
      <c r="A5" s="290" t="n"/>
      <c r="N5" s="287" t="n"/>
    </row>
    <row r="6" ht="15.75" customHeight="1">
      <c r="A6" s="186" t="inlineStr">
        <is>
          <t xml:space="preserve">NOME: </t>
        </is>
      </c>
      <c r="B6" s="291" t="n"/>
      <c r="C6" s="188" t="n"/>
      <c r="D6" s="292" t="n"/>
      <c r="E6" s="292" t="n"/>
      <c r="F6" s="292" t="n"/>
      <c r="G6" s="292" t="n"/>
      <c r="H6" s="292" t="n"/>
      <c r="I6" s="293" t="n"/>
      <c r="J6" s="1" t="inlineStr">
        <is>
          <t>MÊS:</t>
        </is>
      </c>
      <c r="K6" s="294" t="n">
        <v>43830</v>
      </c>
      <c r="L6" s="292" t="n"/>
      <c r="M6" s="292" t="n"/>
      <c r="N6" s="293" t="n"/>
    </row>
    <row r="7">
      <c r="A7" s="295" t="inlineStr">
        <is>
          <t>CARGO:</t>
        </is>
      </c>
      <c r="B7" s="296" t="n"/>
      <c r="C7" s="203" t="inlineStr">
        <is>
          <t>xxx</t>
        </is>
      </c>
      <c r="D7" s="297" t="n"/>
      <c r="E7" s="297" t="n"/>
      <c r="F7" s="297" t="n"/>
      <c r="G7" s="297" t="n"/>
      <c r="H7" s="297" t="n"/>
      <c r="I7" s="298" t="n"/>
      <c r="J7" s="299" t="inlineStr">
        <is>
          <t>CH DIÁRIA:</t>
        </is>
      </c>
      <c r="K7" s="296" t="n"/>
      <c r="L7" s="300" t="n">
        <v>0.3333333333333333</v>
      </c>
      <c r="M7" s="301" t="inlineStr">
        <is>
          <t>8:00 às 17:00</t>
        </is>
      </c>
      <c r="N7" s="302" t="inlineStr">
        <is>
          <t>Flexível</t>
        </is>
      </c>
    </row>
    <row r="8" ht="16.5" customHeight="1">
      <c r="A8" s="295" t="inlineStr">
        <is>
          <t>FUNÇÃO:</t>
        </is>
      </c>
      <c r="B8" s="296" t="n"/>
      <c r="C8" s="303" t="inlineStr">
        <is>
          <t>xxx</t>
        </is>
      </c>
      <c r="D8" s="297" t="n"/>
      <c r="E8" s="297" t="n"/>
      <c r="F8" s="297" t="n"/>
      <c r="G8" s="297" t="n"/>
      <c r="H8" s="297" t="n"/>
      <c r="I8" s="298" t="n"/>
      <c r="J8" s="4" t="inlineStr">
        <is>
          <t>DIAS ÚTEIS:</t>
        </is>
      </c>
      <c r="K8" s="5" t="n"/>
      <c r="L8" s="304">
        <f>COUNTIF(A14:A43,"U")</f>
        <v/>
      </c>
      <c r="M8" s="305" t="n"/>
      <c r="N8" s="306" t="n"/>
    </row>
    <row r="9" ht="16.5" customHeight="1">
      <c r="A9" s="2" t="inlineStr">
        <is>
          <t>EMPRESA:</t>
        </is>
      </c>
      <c r="B9" s="3" t="n"/>
      <c r="C9" s="129" t="inlineStr">
        <is>
          <t>xxx</t>
        </is>
      </c>
      <c r="D9" s="297" t="n"/>
      <c r="E9" s="297" t="n"/>
      <c r="F9" s="297" t="n"/>
      <c r="G9" s="297" t="n"/>
      <c r="H9" s="297" t="n"/>
      <c r="I9" s="298" t="n"/>
      <c r="J9" s="4" t="inlineStr">
        <is>
          <t>CNPJ:</t>
        </is>
      </c>
      <c r="K9" s="307" t="inlineStr">
        <is>
          <t>xx</t>
        </is>
      </c>
      <c r="L9" s="296" t="n"/>
      <c r="M9" s="38" t="inlineStr">
        <is>
          <t>EXERCÍCIO:</t>
        </is>
      </c>
      <c r="N9" s="42" t="n">
        <v>2019</v>
      </c>
      <c r="P9" t="inlineStr">
        <is>
          <t>U: DIA ÚTIL</t>
        </is>
      </c>
    </row>
    <row r="10" ht="16.5" customHeight="1">
      <c r="A10" s="2" t="inlineStr">
        <is>
          <t>LOCALIZAÇÃO:</t>
        </is>
      </c>
      <c r="B10" s="3" t="n"/>
      <c r="C10" s="203" t="inlineStr">
        <is>
          <t>Superintência Regional de Educação de Carapina</t>
        </is>
      </c>
      <c r="D10" s="297" t="n"/>
      <c r="E10" s="297" t="n"/>
      <c r="F10" s="297" t="n"/>
      <c r="G10" s="297" t="n"/>
      <c r="H10" s="297" t="n"/>
      <c r="I10" s="298" t="n"/>
      <c r="J10" s="308" t="inlineStr">
        <is>
          <t>NÚMERO FUNCIONAL:</t>
        </is>
      </c>
      <c r="K10" s="296" t="n"/>
      <c r="L10" s="43" t="inlineStr">
        <is>
          <t>xx</t>
        </is>
      </c>
      <c r="M10" s="37" t="inlineStr">
        <is>
          <t>VÍNCULO:</t>
        </is>
      </c>
      <c r="N10" s="44" t="inlineStr">
        <is>
          <t>xx</t>
        </is>
      </c>
      <c r="P10" t="inlineStr">
        <is>
          <t>F: SÁBADOS; DOMINGOS E FERIADOS</t>
        </is>
      </c>
    </row>
    <row r="11" ht="16.5" customHeight="1" thickBot="1">
      <c r="A11" s="309" t="inlineStr">
        <is>
          <t>REGIME JURÍDICO:</t>
        </is>
      </c>
      <c r="B11" s="310" t="n"/>
      <c r="C11" s="311" t="inlineStr">
        <is>
          <t>Estatutário</t>
        </is>
      </c>
      <c r="D11" s="312" t="n"/>
      <c r="E11" s="313" t="n"/>
      <c r="F11" s="314" t="inlineStr">
        <is>
          <t>ÓRGÃO DE EXERCÍCIO:</t>
        </is>
      </c>
      <c r="G11" s="315" t="n"/>
      <c r="H11" s="310" t="n"/>
      <c r="I11" s="316" t="inlineStr">
        <is>
          <t>Secretaria de Estado da Educação</t>
        </is>
      </c>
      <c r="J11" s="312" t="n"/>
      <c r="K11" s="312" t="n"/>
      <c r="L11" s="312" t="n"/>
      <c r="M11" s="312" t="n"/>
      <c r="N11" s="317" t="n"/>
    </row>
    <row r="12" ht="39" customHeight="1" thickBot="1">
      <c r="A12" s="168" t="inlineStr">
        <is>
          <t>DIAS DA SEMANA</t>
        </is>
      </c>
      <c r="E12" s="287" t="n"/>
      <c r="F12" s="170" t="inlineStr">
        <is>
          <t>1º TURNO</t>
        </is>
      </c>
      <c r="G12" s="318" t="n"/>
      <c r="H12" s="170" t="inlineStr">
        <is>
          <t>2º TURNO</t>
        </is>
      </c>
      <c r="I12" s="318" t="n"/>
      <c r="J12" s="170" t="inlineStr">
        <is>
          <t>3º TURNO</t>
        </is>
      </c>
      <c r="K12" s="318" t="n"/>
      <c r="L12" s="6" t="inlineStr">
        <is>
          <t xml:space="preserve">HORAS TRABALHADAS </t>
        </is>
      </c>
      <c r="M12" s="6" t="inlineStr">
        <is>
          <t>CH PADRÃO</t>
        </is>
      </c>
      <c r="N12" s="6" t="inlineStr">
        <is>
          <t xml:space="preserve">SALDO </t>
        </is>
      </c>
      <c r="P12" s="173" t="inlineStr">
        <is>
          <t>saldo acumulado até hoje</t>
        </is>
      </c>
      <c r="Q12" s="47" t="n"/>
      <c r="R12" s="319">
        <f>SUM(U14:U44)+SUM(FEV!U14:U44)+SUM(MAR!U14:U44)+SUM(ABR!U14:U44)+SUM(MAIO!U14:U44)+SUM(JUN!U14:U44)+SUM(JUL!U14:U44)+SUM(AGO!U14:U44)+SUM(SET!U14:U44)+SUM(OUT!U14:U44)+SUM(NOV!U14:U44)+SUM(DEZ!U14:U44)</f>
        <v/>
      </c>
      <c r="S12" s="320" t="n"/>
      <c r="U12" s="66">
        <f>TODAY()</f>
        <v/>
      </c>
    </row>
    <row r="13" ht="26.25" customHeight="1" thickBot="1">
      <c r="A13" s="321" t="n"/>
      <c r="B13" s="322" t="n"/>
      <c r="C13" s="322" t="n"/>
      <c r="D13" s="322" t="n"/>
      <c r="E13" s="318" t="n"/>
      <c r="F13" s="7" t="inlineStr">
        <is>
          <t>ENTRADA MANHÃ</t>
        </is>
      </c>
      <c r="G13" s="7" t="inlineStr">
        <is>
          <t>SAÍDA MANHÃ</t>
        </is>
      </c>
      <c r="H13" s="7" t="inlineStr">
        <is>
          <t>ENTRADA TARDE</t>
        </is>
      </c>
      <c r="I13" s="7" t="inlineStr">
        <is>
          <t>SAÍDA DA TARDE</t>
        </is>
      </c>
      <c r="J13" s="7" t="inlineStr">
        <is>
          <t>ENTRADA EXTRA</t>
        </is>
      </c>
      <c r="K13" s="7" t="inlineStr">
        <is>
          <t>SAÍDA EXTRA</t>
        </is>
      </c>
      <c r="L13" s="8" t="inlineStr">
        <is>
          <t>POR DIA</t>
        </is>
      </c>
      <c r="M13" s="8" t="inlineStr">
        <is>
          <t>DIÁRIA</t>
        </is>
      </c>
      <c r="N13" s="8" t="inlineStr">
        <is>
          <t>DIÁRIO</t>
        </is>
      </c>
    </row>
    <row r="14" ht="16.5" customHeight="1" thickBot="1">
      <c r="A14" s="17" t="inlineStr">
        <is>
          <t>F</t>
        </is>
      </c>
      <c r="B14" s="45">
        <f>K6</f>
        <v/>
      </c>
      <c r="C14" s="323">
        <f>WEEKDAY(B14)+1</f>
        <v/>
      </c>
      <c r="D14" s="292" t="n"/>
      <c r="E14" s="293" t="n"/>
      <c r="F14" s="324" t="n">
        <v>0.3333333333333333</v>
      </c>
      <c r="G14" s="325" t="n">
        <v>0</v>
      </c>
      <c r="H14" s="325" t="n">
        <v>0</v>
      </c>
      <c r="I14" s="326" t="n">
        <v>0</v>
      </c>
      <c r="J14" s="327" t="n"/>
      <c r="K14" s="328" t="n"/>
      <c r="L14" s="329">
        <f>IF(A14="U",(G14-F14)+(I14-H14)+(K14-J14),"NÃO ÚTIL")</f>
        <v/>
      </c>
      <c r="M14" s="330">
        <f>IF(A14="U",L7,"NÃO ÚTIL")</f>
        <v/>
      </c>
      <c r="N14" s="331">
        <f>IF(A14="U",(L14-M14),"NÃO ÚTIL")</f>
        <v/>
      </c>
      <c r="O14" s="47" t="n"/>
      <c r="P14" s="332">
        <f>IF(N14="não útil",0,N14)</f>
        <v/>
      </c>
      <c r="Q14" s="332">
        <f>P14</f>
        <v/>
      </c>
      <c r="R14" s="332">
        <f>Q14+$Q$4</f>
        <v/>
      </c>
      <c r="S14" s="47">
        <f>IF(B14=T14,"HOJE",".")</f>
        <v/>
      </c>
      <c r="T14" s="62">
        <f>TODAY()</f>
        <v/>
      </c>
      <c r="U14" s="332">
        <f>IF(S14="HOJE",R14,0)</f>
        <v/>
      </c>
      <c r="V14" s="47" t="n"/>
    </row>
    <row r="15" ht="16.5" customHeight="1" thickBot="1">
      <c r="A15" s="17">
        <f>IF(OR(C15=2,C15=8),"F","U")</f>
        <v/>
      </c>
      <c r="B15" s="46">
        <f>B14+1</f>
        <v/>
      </c>
      <c r="C15" s="333">
        <f>WEEKDAY(B15)+1</f>
        <v/>
      </c>
      <c r="D15" s="297" t="n"/>
      <c r="E15" s="298" t="n"/>
      <c r="F15" s="334" t="n">
        <v>0</v>
      </c>
      <c r="G15" s="325" t="n">
        <v>0</v>
      </c>
      <c r="H15" s="325" t="n">
        <v>0</v>
      </c>
      <c r="I15" s="326" t="n">
        <v>0</v>
      </c>
      <c r="J15" s="335" t="n"/>
      <c r="K15" s="336" t="n"/>
      <c r="L15" s="329">
        <f>IF(A15="U",(G15-F15)+(I15-H15)+(K15-J15),"NÃO ÚTIL")</f>
        <v/>
      </c>
      <c r="M15" s="330">
        <f>IF(A15="U",L7,"NÃO ÚTIL")</f>
        <v/>
      </c>
      <c r="N15" s="331">
        <f>IF(A15="U",(L15-M15),"NÃO ÚTIL")</f>
        <v/>
      </c>
      <c r="O15" s="337" t="n"/>
      <c r="P15" s="332">
        <f>IF(N15="não útil",0,N15)</f>
        <v/>
      </c>
      <c r="Q15" s="337">
        <f>P15+Q14</f>
        <v/>
      </c>
      <c r="R15" s="332">
        <f>Q15+$Q$4</f>
        <v/>
      </c>
      <c r="S15" s="47">
        <f>IF(B15=T15,"HOJE",".")</f>
        <v/>
      </c>
      <c r="T15" s="62">
        <f>TODAY()</f>
        <v/>
      </c>
      <c r="U15" s="332">
        <f>IF(S15="HOJE",R15,0)</f>
        <v/>
      </c>
      <c r="V15" s="47" t="n"/>
    </row>
    <row r="16" ht="16.5" customHeight="1" thickBot="1">
      <c r="A16" s="17">
        <f>IF(OR(C16=2,C16=8),"F","U")</f>
        <v/>
      </c>
      <c r="B16" s="46">
        <f>B15+1</f>
        <v/>
      </c>
      <c r="C16" s="333">
        <f>WEEKDAY(B16)+1</f>
        <v/>
      </c>
      <c r="D16" s="297" t="n"/>
      <c r="E16" s="298" t="n"/>
      <c r="F16" s="334" t="n">
        <v>0</v>
      </c>
      <c r="G16" s="325" t="n">
        <v>0</v>
      </c>
      <c r="H16" s="325" t="n">
        <v>0</v>
      </c>
      <c r="I16" s="326" t="n">
        <v>0</v>
      </c>
      <c r="J16" s="338" t="n"/>
      <c r="K16" s="339" t="n"/>
      <c r="L16" s="329">
        <f>IF(A16="U",(G16-F16)+(I16-H16)+(K16-J16),"NÃO ÚTIL")</f>
        <v/>
      </c>
      <c r="M16" s="330">
        <f>IF(A16="U",L7,"NÃO ÚTIL")</f>
        <v/>
      </c>
      <c r="N16" s="331">
        <f>IF(A16="U",(L16-M16),"NÃO ÚTIL")</f>
        <v/>
      </c>
      <c r="O16" s="337" t="n"/>
      <c r="P16" s="332">
        <f>IF(N16="não útil",0,N16)</f>
        <v/>
      </c>
      <c r="Q16" s="337">
        <f>P16+Q15</f>
        <v/>
      </c>
      <c r="R16" s="332">
        <f>Q16+$Q$4</f>
        <v/>
      </c>
      <c r="S16" s="47">
        <f>IF(B16=T16,"HOJE",".")</f>
        <v/>
      </c>
      <c r="T16" s="62">
        <f>TODAY()</f>
        <v/>
      </c>
      <c r="U16" s="332">
        <f>IF(S16="HOJE",R16,0)</f>
        <v/>
      </c>
      <c r="V16" s="47" t="n"/>
    </row>
    <row r="17" ht="16.5" customHeight="1" thickBot="1">
      <c r="A17" s="17">
        <f>IF(OR(C17=2,C17=8),"F","U")</f>
        <v/>
      </c>
      <c r="B17" s="46">
        <f>B16+1</f>
        <v/>
      </c>
      <c r="C17" s="333">
        <f>WEEKDAY(B17)+1</f>
        <v/>
      </c>
      <c r="D17" s="297" t="n"/>
      <c r="E17" s="298" t="n"/>
      <c r="F17" s="334" t="n">
        <v>0</v>
      </c>
      <c r="G17" s="325" t="n">
        <v>0</v>
      </c>
      <c r="H17" s="325" t="n">
        <v>0</v>
      </c>
      <c r="I17" s="326" t="n">
        <v>0</v>
      </c>
      <c r="J17" s="340" t="n"/>
      <c r="K17" s="341" t="n"/>
      <c r="L17" s="329">
        <f>IF(A17="U",(G17-F17)+(I17-H17)+(K17-J17),"NÃO ÚTIL")</f>
        <v/>
      </c>
      <c r="M17" s="330">
        <f>IF(A17="U",L7,"NÃO ÚTIL")</f>
        <v/>
      </c>
      <c r="N17" s="331">
        <f>IF(A17="U",(L17-M17),"NÃO ÚTIL")</f>
        <v/>
      </c>
      <c r="O17" s="47" t="n"/>
      <c r="P17" s="332">
        <f>IF(N17="não útil",0,N17)</f>
        <v/>
      </c>
      <c r="Q17" s="337">
        <f>P17+Q16</f>
        <v/>
      </c>
      <c r="R17" s="332">
        <f>Q17+$Q$4</f>
        <v/>
      </c>
      <c r="S17" s="47">
        <f>IF(B17=T17,"HOJE",".")</f>
        <v/>
      </c>
      <c r="T17" s="62">
        <f>TODAY()</f>
        <v/>
      </c>
      <c r="U17" s="332">
        <f>IF(S17="HOJE",R17,0)</f>
        <v/>
      </c>
      <c r="V17" s="47" t="n"/>
    </row>
    <row r="18" ht="16.5" customHeight="1" thickBot="1">
      <c r="A18" s="17">
        <f>IF(OR(C18=2,C18=8),"F","U")</f>
        <v/>
      </c>
      <c r="B18" s="46">
        <f>B17+1</f>
        <v/>
      </c>
      <c r="C18" s="333">
        <f>WEEKDAY(B18)+1</f>
        <v/>
      </c>
      <c r="D18" s="297" t="n"/>
      <c r="E18" s="298" t="n"/>
      <c r="F18" s="334" t="n">
        <v>0</v>
      </c>
      <c r="G18" s="325" t="n">
        <v>0</v>
      </c>
      <c r="H18" s="325" t="n">
        <v>0</v>
      </c>
      <c r="I18" s="326" t="n">
        <v>0</v>
      </c>
      <c r="J18" s="338" t="n"/>
      <c r="K18" s="339" t="n"/>
      <c r="L18" s="329">
        <f>IF(A18="U",(G18-F18)+(I18-H18)+(K18-J18),"NÃO ÚTIL")</f>
        <v/>
      </c>
      <c r="M18" s="330">
        <f>IF(A18="U",L7,"NÃO ÚTIL")</f>
        <v/>
      </c>
      <c r="N18" s="331">
        <f>IF(A18="U",(L18-M18),"NÃO ÚTIL")</f>
        <v/>
      </c>
      <c r="O18" s="47" t="n"/>
      <c r="P18" s="332">
        <f>IF(N18="não útil",0,N18)</f>
        <v/>
      </c>
      <c r="Q18" s="337">
        <f>P18+Q17</f>
        <v/>
      </c>
      <c r="R18" s="332">
        <f>Q18+$Q$4</f>
        <v/>
      </c>
      <c r="S18" s="47">
        <f>IF(B18=T18,"HOJE",".")</f>
        <v/>
      </c>
      <c r="T18" s="62">
        <f>TODAY()</f>
        <v/>
      </c>
      <c r="U18" s="332">
        <f>IF(S18="HOJE",R18,0)</f>
        <v/>
      </c>
      <c r="V18" s="47" t="n"/>
    </row>
    <row r="19" ht="16.5" customHeight="1" thickBot="1">
      <c r="A19" s="17">
        <f>IF(OR(C19=2,C19=8),"F","U")</f>
        <v/>
      </c>
      <c r="B19" s="46">
        <f>B18+1</f>
        <v/>
      </c>
      <c r="C19" s="333">
        <f>WEEKDAY(B19)+1</f>
        <v/>
      </c>
      <c r="D19" s="297" t="n"/>
      <c r="E19" s="298" t="n"/>
      <c r="F19" s="342" t="n">
        <v>0</v>
      </c>
      <c r="G19" s="343" t="n">
        <v>0</v>
      </c>
      <c r="H19" s="343" t="n">
        <v>0</v>
      </c>
      <c r="I19" s="344" t="n">
        <v>0</v>
      </c>
      <c r="J19" s="335" t="n"/>
      <c r="K19" s="336" t="n"/>
      <c r="L19" s="329">
        <f>IF(A19="U",(G19-F19)+(I19-H19)+(K19-J19),"NÃO ÚTIL")</f>
        <v/>
      </c>
      <c r="M19" s="330">
        <f>IF(A19="U",L7,"NÃO ÚTIL")</f>
        <v/>
      </c>
      <c r="N19" s="331">
        <f>IF(A19="U",(L19-M19),"NÃO ÚTIL")</f>
        <v/>
      </c>
      <c r="O19" s="47" t="n"/>
      <c r="P19" s="332">
        <f>IF(N19="não útil",0,N19)</f>
        <v/>
      </c>
      <c r="Q19" s="337">
        <f>P19+Q18</f>
        <v/>
      </c>
      <c r="R19" s="332">
        <f>Q19+$Q$4</f>
        <v/>
      </c>
      <c r="S19" s="47">
        <f>IF(B19=T19,"HOJE",".")</f>
        <v/>
      </c>
      <c r="T19" s="62">
        <f>TODAY()</f>
        <v/>
      </c>
      <c r="U19" s="332">
        <f>IF(S19="HOJE",R19,0)</f>
        <v/>
      </c>
      <c r="V19" s="47" t="n"/>
    </row>
    <row r="20" ht="16.5" customHeight="1" thickBot="1">
      <c r="A20" s="17">
        <f>IF(OR(C20=2,C20=8),"F","U")</f>
        <v/>
      </c>
      <c r="B20" s="46">
        <f>B19+1</f>
        <v/>
      </c>
      <c r="C20" s="333">
        <f>WEEKDAY(B20)+1</f>
        <v/>
      </c>
      <c r="D20" s="297" t="n"/>
      <c r="E20" s="298" t="n"/>
      <c r="F20" s="342" t="n">
        <v>0</v>
      </c>
      <c r="G20" s="343" t="n">
        <v>0</v>
      </c>
      <c r="H20" s="343" t="n">
        <v>0</v>
      </c>
      <c r="I20" s="344" t="n">
        <v>0</v>
      </c>
      <c r="J20" s="335" t="n"/>
      <c r="K20" s="336" t="n"/>
      <c r="L20" s="329">
        <f>IF(A20="U",(G20-F20)+(I20-H20)+(K20-J20),"NÃO ÚTIL")</f>
        <v/>
      </c>
      <c r="M20" s="330">
        <f>IF(A20="U",L7,"NÃO ÚTIL")</f>
        <v/>
      </c>
      <c r="N20" s="331">
        <f>IF(A20="U",(L20-M20),"NÃO ÚTIL")</f>
        <v/>
      </c>
      <c r="O20" s="47" t="n"/>
      <c r="P20" s="332">
        <f>IF(N20="não útil",0,N20)</f>
        <v/>
      </c>
      <c r="Q20" s="337">
        <f>P20+Q19</f>
        <v/>
      </c>
      <c r="R20" s="332">
        <f>Q20+$Q$4</f>
        <v/>
      </c>
      <c r="S20" s="47">
        <f>IF(B20=T20,"HOJE",".")</f>
        <v/>
      </c>
      <c r="T20" s="62">
        <f>TODAY()</f>
        <v/>
      </c>
      <c r="U20" s="332">
        <f>IF(S20="HOJE",R20,0)</f>
        <v/>
      </c>
      <c r="V20" s="47" t="n"/>
    </row>
    <row r="21" ht="16.5" customHeight="1" thickBot="1">
      <c r="A21" s="17">
        <f>IF(OR(C21=2,C21=8),"F","U")</f>
        <v/>
      </c>
      <c r="B21" s="46">
        <f>B20+1</f>
        <v/>
      </c>
      <c r="C21" s="333">
        <f>WEEKDAY(B21)+1</f>
        <v/>
      </c>
      <c r="D21" s="297" t="n"/>
      <c r="E21" s="298" t="n"/>
      <c r="F21" s="334" t="n">
        <v>0</v>
      </c>
      <c r="G21" s="325" t="n">
        <v>0</v>
      </c>
      <c r="H21" s="325" t="n">
        <v>0</v>
      </c>
      <c r="I21" s="326" t="n">
        <v>0</v>
      </c>
      <c r="J21" s="340" t="n"/>
      <c r="K21" s="341" t="n"/>
      <c r="L21" s="329">
        <f>IF(A21="U",(G21-F21)+(I21-H21)+(K21-J21),"NÃO ÚTIL")</f>
        <v/>
      </c>
      <c r="M21" s="330">
        <f>IF(A21="U",L7,"NÃO ÚTIL")</f>
        <v/>
      </c>
      <c r="N21" s="331">
        <f>IF(A21="U",(L21-M21),"NÃO ÚTIL")</f>
        <v/>
      </c>
      <c r="O21" s="47" t="n"/>
      <c r="P21" s="332">
        <f>IF(N21="não útil",0,N21)</f>
        <v/>
      </c>
      <c r="Q21" s="337">
        <f>P21+Q20</f>
        <v/>
      </c>
      <c r="R21" s="332">
        <f>Q21+$Q$4</f>
        <v/>
      </c>
      <c r="S21" s="47">
        <f>IF(B21=T21,"HOJE",".")</f>
        <v/>
      </c>
      <c r="T21" s="62">
        <f>TODAY()</f>
        <v/>
      </c>
      <c r="U21" s="332">
        <f>IF(S21="HOJE",R21,0)</f>
        <v/>
      </c>
      <c r="V21" s="47" t="n"/>
    </row>
    <row r="22" ht="16.5" customHeight="1" thickBot="1">
      <c r="A22" s="17">
        <f>IF(OR(C22=2,C22=8),"F","U")</f>
        <v/>
      </c>
      <c r="B22" s="46">
        <f>B21+1</f>
        <v/>
      </c>
      <c r="C22" s="333">
        <f>WEEKDAY(B22)+1</f>
        <v/>
      </c>
      <c r="D22" s="297" t="n"/>
      <c r="E22" s="298" t="n"/>
      <c r="F22" s="334" t="n">
        <v>0</v>
      </c>
      <c r="G22" s="325" t="n">
        <v>0</v>
      </c>
      <c r="H22" s="325" t="n">
        <v>0</v>
      </c>
      <c r="I22" s="326" t="n">
        <v>0</v>
      </c>
      <c r="J22" s="338" t="n"/>
      <c r="K22" s="339" t="n"/>
      <c r="L22" s="329">
        <f>IF(A22="U",(G22-F22)+(I22-H22)+(K22-J22),"NÃO ÚTIL")</f>
        <v/>
      </c>
      <c r="M22" s="330">
        <f>IF(A22="U",L7,"NÃO ÚTIL")</f>
        <v/>
      </c>
      <c r="N22" s="331">
        <f>IF(A22="U",(L22-M22),"NÃO ÚTIL")</f>
        <v/>
      </c>
      <c r="O22" s="47" t="n"/>
      <c r="P22" s="332">
        <f>IF(N22="não útil",0,N22)</f>
        <v/>
      </c>
      <c r="Q22" s="337">
        <f>P22+Q21</f>
        <v/>
      </c>
      <c r="R22" s="332">
        <f>Q22+$Q$4</f>
        <v/>
      </c>
      <c r="S22" s="47">
        <f>IF(B22=T22,"HOJE",".")</f>
        <v/>
      </c>
      <c r="T22" s="62">
        <f>TODAY()</f>
        <v/>
      </c>
      <c r="U22" s="332">
        <f>IF(S22="HOJE",R22,0)</f>
        <v/>
      </c>
      <c r="V22" s="47" t="n"/>
    </row>
    <row r="23" ht="16.5" customHeight="1" thickBot="1">
      <c r="A23" s="17">
        <f>IF(OR(C23=2,C23=8),"F","U")</f>
        <v/>
      </c>
      <c r="B23" s="46">
        <f>B22+1</f>
        <v/>
      </c>
      <c r="C23" s="333">
        <f>WEEKDAY(B23)+1</f>
        <v/>
      </c>
      <c r="D23" s="297" t="n"/>
      <c r="E23" s="298" t="n"/>
      <c r="F23" s="334" t="n">
        <v>0</v>
      </c>
      <c r="G23" s="325" t="n">
        <v>0</v>
      </c>
      <c r="H23" s="325" t="n">
        <v>0</v>
      </c>
      <c r="I23" s="326" t="n">
        <v>0</v>
      </c>
      <c r="J23" s="335" t="n"/>
      <c r="K23" s="336" t="n"/>
      <c r="L23" s="329">
        <f>IF(A23="U",(G23-F23)+(I23-H23)+(K23-J23),"NÃO ÚTIL")</f>
        <v/>
      </c>
      <c r="M23" s="330">
        <f>IF(A23="U",L7,"NÃO ÚTIL")</f>
        <v/>
      </c>
      <c r="N23" s="331">
        <f>IF(A23="U",(L23-M23),"NÃO ÚTIL")</f>
        <v/>
      </c>
      <c r="O23" s="47" t="n"/>
      <c r="P23" s="332">
        <f>IF(N23="não útil",0,N23)</f>
        <v/>
      </c>
      <c r="Q23" s="337">
        <f>P23+Q22</f>
        <v/>
      </c>
      <c r="R23" s="332">
        <f>Q23+$Q$4</f>
        <v/>
      </c>
      <c r="S23" s="47">
        <f>IF(B23=T23,"HOJE",".")</f>
        <v/>
      </c>
      <c r="T23" s="62">
        <f>TODAY()</f>
        <v/>
      </c>
      <c r="U23" s="332">
        <f>IF(S23="HOJE",R23,0)</f>
        <v/>
      </c>
      <c r="V23" s="47" t="n"/>
    </row>
    <row r="24" ht="16.5" customHeight="1" thickBot="1">
      <c r="A24" s="17">
        <f>IF(OR(C24=2,C24=8),"F","U")</f>
        <v/>
      </c>
      <c r="B24" s="46">
        <f>B23+1</f>
        <v/>
      </c>
      <c r="C24" s="333">
        <f>WEEKDAY(B24)+1</f>
        <v/>
      </c>
      <c r="D24" s="297" t="n"/>
      <c r="E24" s="298" t="n"/>
      <c r="F24" s="334" t="n">
        <v>0</v>
      </c>
      <c r="G24" s="325" t="n">
        <v>0</v>
      </c>
      <c r="H24" s="325" t="n">
        <v>0</v>
      </c>
      <c r="I24" s="326" t="n">
        <v>0</v>
      </c>
      <c r="J24" s="338" t="n"/>
      <c r="K24" s="339" t="n"/>
      <c r="L24" s="329">
        <f>IF(A24="U",(G24-F24)+(I24-H24)+(K24-J24),"NÃO ÚTIL")</f>
        <v/>
      </c>
      <c r="M24" s="330">
        <f>IF(A24="U",L7,"NÃO ÚTIL")</f>
        <v/>
      </c>
      <c r="N24" s="331">
        <f>IF(A24="U",(L24-M24),"NÃO ÚTIL")</f>
        <v/>
      </c>
      <c r="O24" s="47" t="n"/>
      <c r="P24" s="332">
        <f>IF(N24="não útil",0,N24)</f>
        <v/>
      </c>
      <c r="Q24" s="337">
        <f>P24+Q23</f>
        <v/>
      </c>
      <c r="R24" s="332">
        <f>Q24+$Q$4</f>
        <v/>
      </c>
      <c r="S24" s="47">
        <f>IF(B24=T24,"HOJE",".")</f>
        <v/>
      </c>
      <c r="T24" s="62">
        <f>TODAY()</f>
        <v/>
      </c>
      <c r="U24" s="332">
        <f>IF(S24="HOJE",R24,0)</f>
        <v/>
      </c>
      <c r="V24" s="47" t="n"/>
    </row>
    <row r="25" ht="16.5" customHeight="1" thickBot="1">
      <c r="A25" s="17">
        <f>IF(OR(C25=2,C25=8),"F","U")</f>
        <v/>
      </c>
      <c r="B25" s="46">
        <f>B24+1</f>
        <v/>
      </c>
      <c r="C25" s="333">
        <f>WEEKDAY(B25)+1</f>
        <v/>
      </c>
      <c r="D25" s="297" t="n"/>
      <c r="E25" s="298" t="n"/>
      <c r="F25" s="334" t="n">
        <v>0</v>
      </c>
      <c r="G25" s="325" t="n">
        <v>0</v>
      </c>
      <c r="H25" s="325" t="n">
        <v>0</v>
      </c>
      <c r="I25" s="326" t="n">
        <v>0</v>
      </c>
      <c r="J25" s="335" t="n"/>
      <c r="K25" s="336" t="n"/>
      <c r="L25" s="329">
        <f>IF(A25="U",(G25-F25)+(I25-H25)+(K25-J25),"NÃO ÚTIL")</f>
        <v/>
      </c>
      <c r="M25" s="330">
        <f>IF(A25="U",L7,"NÃO ÚTIL")</f>
        <v/>
      </c>
      <c r="N25" s="331">
        <f>IF(A25="U",(L25-M25),"NÃO ÚTIL")</f>
        <v/>
      </c>
      <c r="O25" s="47" t="n"/>
      <c r="P25" s="332">
        <f>IF(N25="não útil",0,N25)</f>
        <v/>
      </c>
      <c r="Q25" s="337">
        <f>P25+Q24</f>
        <v/>
      </c>
      <c r="R25" s="332">
        <f>Q25+$Q$4</f>
        <v/>
      </c>
      <c r="S25" s="47">
        <f>IF(B25=T25,"HOJE",".")</f>
        <v/>
      </c>
      <c r="T25" s="62">
        <f>TODAY()</f>
        <v/>
      </c>
      <c r="U25" s="332">
        <f>IF(S25="HOJE",R25,0)</f>
        <v/>
      </c>
      <c r="V25" s="47" t="n"/>
    </row>
    <row r="26" ht="16.5" customHeight="1" thickBot="1">
      <c r="A26" s="17">
        <f>IF(OR(C26=2,C26=8),"F","U")</f>
        <v/>
      </c>
      <c r="B26" s="46">
        <f>B25+1</f>
        <v/>
      </c>
      <c r="C26" s="333">
        <f>WEEKDAY(B26)+1</f>
        <v/>
      </c>
      <c r="D26" s="297" t="n"/>
      <c r="E26" s="298" t="n"/>
      <c r="F26" s="342" t="n">
        <v>0</v>
      </c>
      <c r="G26" s="343" t="n">
        <v>0</v>
      </c>
      <c r="H26" s="343" t="n">
        <v>0</v>
      </c>
      <c r="I26" s="344" t="n">
        <v>0</v>
      </c>
      <c r="J26" s="340" t="n"/>
      <c r="K26" s="341" t="n"/>
      <c r="L26" s="329">
        <f>IF(A26="U",(G26-F26)+(I26-H26)+(K26-J26),"NÃO ÚTIL")</f>
        <v/>
      </c>
      <c r="M26" s="330">
        <f>IF(A26="U",L7,"NÃO ÚTIL")</f>
        <v/>
      </c>
      <c r="N26" s="331">
        <f>IF(A26="U",(L26-M26),"NÃO ÚTIL")</f>
        <v/>
      </c>
      <c r="O26" s="47" t="n"/>
      <c r="P26" s="332">
        <f>IF(N26="não útil",0,N26)</f>
        <v/>
      </c>
      <c r="Q26" s="337">
        <f>P26+Q25</f>
        <v/>
      </c>
      <c r="R26" s="332">
        <f>Q26+$Q$4</f>
        <v/>
      </c>
      <c r="S26" s="47">
        <f>IF(B26=T26,"HOJE",".")</f>
        <v/>
      </c>
      <c r="T26" s="62">
        <f>TODAY()</f>
        <v/>
      </c>
      <c r="U26" s="332">
        <f>IF(S26="HOJE",R26,0)</f>
        <v/>
      </c>
      <c r="V26" s="47" t="n"/>
    </row>
    <row r="27" ht="16.5" customHeight="1" thickBot="1">
      <c r="A27" s="17">
        <f>IF(OR(C27=2,C27=8),"F","U")</f>
        <v/>
      </c>
      <c r="B27" s="46">
        <f>B26+1</f>
        <v/>
      </c>
      <c r="C27" s="333">
        <f>WEEKDAY(B27)+1</f>
        <v/>
      </c>
      <c r="D27" s="297" t="n"/>
      <c r="E27" s="298" t="n"/>
      <c r="F27" s="342" t="n">
        <v>0</v>
      </c>
      <c r="G27" s="343" t="n">
        <v>0</v>
      </c>
      <c r="H27" s="343" t="n">
        <v>0</v>
      </c>
      <c r="I27" s="344" t="n">
        <v>0</v>
      </c>
      <c r="J27" s="338" t="n"/>
      <c r="K27" s="339" t="n"/>
      <c r="L27" s="329">
        <f>IF(A27="U",(G27-F27)+(I27-H27)+(K27-J27),"NÃO ÚTIL")</f>
        <v/>
      </c>
      <c r="M27" s="330">
        <f>IF(A27="U",L7,"NÃO ÚTIL")</f>
        <v/>
      </c>
      <c r="N27" s="331">
        <f>IF(A27="U",(L27-M27),"NÃO ÚTIL")</f>
        <v/>
      </c>
      <c r="O27" s="47" t="n"/>
      <c r="P27" s="332">
        <f>IF(N27="não útil",0,N27)</f>
        <v/>
      </c>
      <c r="Q27" s="337">
        <f>P27+Q26</f>
        <v/>
      </c>
      <c r="R27" s="332">
        <f>Q27+$Q$4</f>
        <v/>
      </c>
      <c r="S27" s="47">
        <f>IF(B27=T27,"HOJE",".")</f>
        <v/>
      </c>
      <c r="T27" s="62">
        <f>TODAY()</f>
        <v/>
      </c>
      <c r="U27" s="332">
        <f>IF(S27="HOJE",R27,0)</f>
        <v/>
      </c>
      <c r="V27" s="47" t="n"/>
    </row>
    <row r="28" ht="16.5" customHeight="1" thickBot="1">
      <c r="A28" s="17">
        <f>IF(OR(C28=2,C28=8),"F","U")</f>
        <v/>
      </c>
      <c r="B28" s="46">
        <f>B27+1</f>
        <v/>
      </c>
      <c r="C28" s="333">
        <f>WEEKDAY(B28)+1</f>
        <v/>
      </c>
      <c r="D28" s="297" t="n"/>
      <c r="E28" s="298" t="n"/>
      <c r="F28" s="334" t="n">
        <v>0</v>
      </c>
      <c r="G28" s="325" t="n">
        <v>0</v>
      </c>
      <c r="H28" s="325" t="n">
        <v>0</v>
      </c>
      <c r="I28" s="326" t="n">
        <v>0</v>
      </c>
      <c r="J28" s="335" t="n"/>
      <c r="K28" s="336" t="n"/>
      <c r="L28" s="329">
        <f>IF(A28="U",(G28-F28)+(I28-H28)+(K28-J28),"NÃO ÚTIL")</f>
        <v/>
      </c>
      <c r="M28" s="330">
        <f>IF(A28="U",L7,"NÃO ÚTIL")</f>
        <v/>
      </c>
      <c r="N28" s="331">
        <f>IF(A28="U",(L28-M28),"NÃO ÚTIL")</f>
        <v/>
      </c>
      <c r="O28" s="47" t="n"/>
      <c r="P28" s="332">
        <f>IF(N28="não útil",0,N28)</f>
        <v/>
      </c>
      <c r="Q28" s="337">
        <f>P28+Q27</f>
        <v/>
      </c>
      <c r="R28" s="332">
        <f>Q28+$Q$4</f>
        <v/>
      </c>
      <c r="S28" s="47">
        <f>IF(B28=T28,"HOJE",".")</f>
        <v/>
      </c>
      <c r="T28" s="62">
        <f>TODAY()</f>
        <v/>
      </c>
      <c r="U28" s="332">
        <f>IF(S28="HOJE",R28,0)</f>
        <v/>
      </c>
      <c r="V28" s="47" t="n"/>
    </row>
    <row r="29" ht="16.5" customHeight="1" thickBot="1">
      <c r="A29" s="17">
        <f>IF(OR(C29=2,C29=8),"F","U")</f>
        <v/>
      </c>
      <c r="B29" s="46">
        <f>B28+1</f>
        <v/>
      </c>
      <c r="C29" s="333">
        <f>WEEKDAY(B29)+1</f>
        <v/>
      </c>
      <c r="D29" s="297" t="n"/>
      <c r="E29" s="298" t="n"/>
      <c r="F29" s="334" t="n">
        <v>0</v>
      </c>
      <c r="G29" s="325" t="n">
        <v>0</v>
      </c>
      <c r="H29" s="325" t="n">
        <v>0</v>
      </c>
      <c r="I29" s="326" t="n">
        <v>0</v>
      </c>
      <c r="J29" s="340" t="n"/>
      <c r="K29" s="341" t="n"/>
      <c r="L29" s="329">
        <f>IF(A29="U",(G29-F29)+(I29-H29)+(K29-J29),"NÃO ÚTIL")</f>
        <v/>
      </c>
      <c r="M29" s="330">
        <f>IF(A29="U",L7,"NÃO ÚTIL")</f>
        <v/>
      </c>
      <c r="N29" s="331">
        <f>IF(A29="U",(L29-M29),"NÃO ÚTIL")</f>
        <v/>
      </c>
      <c r="O29" s="47" t="n"/>
      <c r="P29" s="332">
        <f>IF(N29="não útil",0,N29)</f>
        <v/>
      </c>
      <c r="Q29" s="337">
        <f>P29+Q28</f>
        <v/>
      </c>
      <c r="R29" s="332">
        <f>Q29+$Q$4</f>
        <v/>
      </c>
      <c r="S29" s="47">
        <f>IF(B29=T29,"HOJE",".")</f>
        <v/>
      </c>
      <c r="T29" s="62">
        <f>TODAY()</f>
        <v/>
      </c>
      <c r="U29" s="332">
        <f>IF(S29="HOJE",R29,0)</f>
        <v/>
      </c>
      <c r="V29" s="47" t="n"/>
    </row>
    <row r="30" ht="16.5" customHeight="1" thickBot="1">
      <c r="A30" s="17">
        <f>IF(OR(C30=2,C30=8),"F","U")</f>
        <v/>
      </c>
      <c r="B30" s="46">
        <f>B29+1</f>
        <v/>
      </c>
      <c r="C30" s="333">
        <f>WEEKDAY(B30)+1</f>
        <v/>
      </c>
      <c r="D30" s="297" t="n"/>
      <c r="E30" s="298" t="n"/>
      <c r="F30" s="334" t="n">
        <v>0</v>
      </c>
      <c r="G30" s="325" t="n">
        <v>0</v>
      </c>
      <c r="H30" s="325" t="n">
        <v>0</v>
      </c>
      <c r="I30" s="326" t="n">
        <v>0</v>
      </c>
      <c r="J30" s="338" t="n"/>
      <c r="K30" s="339" t="n"/>
      <c r="L30" s="329">
        <f>IF(A30="U",(G30-F30)+(I30-H30)+(K30-J30),"NÃO ÚTIL")</f>
        <v/>
      </c>
      <c r="M30" s="330">
        <f>IF(A30="U",L7,"NÃO ÚTIL")</f>
        <v/>
      </c>
      <c r="N30" s="331">
        <f>IF(A30="U",(L30-M30),"NÃO ÚTIL")</f>
        <v/>
      </c>
      <c r="O30" s="47" t="n"/>
      <c r="P30" s="332">
        <f>IF(N30="não útil",0,N30)</f>
        <v/>
      </c>
      <c r="Q30" s="337">
        <f>P30+Q29</f>
        <v/>
      </c>
      <c r="R30" s="332">
        <f>Q30+$Q$4</f>
        <v/>
      </c>
      <c r="S30" s="47">
        <f>IF(B30=T30,"HOJE",".")</f>
        <v/>
      </c>
      <c r="T30" s="62">
        <f>TODAY()</f>
        <v/>
      </c>
      <c r="U30" s="332">
        <f>IF(S30="HOJE",R30,0)</f>
        <v/>
      </c>
      <c r="V30" s="47" t="n"/>
    </row>
    <row r="31" ht="16.5" customHeight="1" thickBot="1">
      <c r="A31" s="17">
        <f>IF(OR(C31=2,C31=8),"F","U")</f>
        <v/>
      </c>
      <c r="B31" s="46">
        <f>B30+1</f>
        <v/>
      </c>
      <c r="C31" s="333">
        <f>WEEKDAY(B31)+1</f>
        <v/>
      </c>
      <c r="D31" s="297" t="n"/>
      <c r="E31" s="298" t="n"/>
      <c r="F31" s="334" t="n">
        <v>0</v>
      </c>
      <c r="G31" s="325" t="n">
        <v>0</v>
      </c>
      <c r="H31" s="325" t="n">
        <v>0</v>
      </c>
      <c r="I31" s="326" t="n">
        <v>0</v>
      </c>
      <c r="J31" s="340" t="n"/>
      <c r="K31" s="341" t="n"/>
      <c r="L31" s="329">
        <f>IF(A31="U",(G31-F31)+(I31-H31)+(K31-J31),"NÃO ÚTIL")</f>
        <v/>
      </c>
      <c r="M31" s="330">
        <f>IF(A31="U",L7,"NÃO ÚTIL")</f>
        <v/>
      </c>
      <c r="N31" s="331">
        <f>IF(A31="U",(L31-M31),"NÃO ÚTIL")</f>
        <v/>
      </c>
      <c r="O31" s="47" t="n"/>
      <c r="P31" s="332">
        <f>IF(N31="não útil",0,N31)</f>
        <v/>
      </c>
      <c r="Q31" s="337">
        <f>P31+Q30</f>
        <v/>
      </c>
      <c r="R31" s="332">
        <f>Q31+$Q$4</f>
        <v/>
      </c>
      <c r="S31" s="47">
        <f>IF(B31=T31,"HOJE",".")</f>
        <v/>
      </c>
      <c r="T31" s="62">
        <f>TODAY()</f>
        <v/>
      </c>
      <c r="U31" s="332">
        <f>IF(S31="HOJE",R31,0)</f>
        <v/>
      </c>
      <c r="V31" s="47" t="n"/>
    </row>
    <row r="32" ht="16.5" customHeight="1" thickBot="1">
      <c r="A32" s="17">
        <f>IF(OR(C32=2,C32=8),"F","U")</f>
        <v/>
      </c>
      <c r="B32" s="46">
        <f>B31+1</f>
        <v/>
      </c>
      <c r="C32" s="333">
        <f>WEEKDAY(B32)+1</f>
        <v/>
      </c>
      <c r="D32" s="297" t="n"/>
      <c r="E32" s="298" t="n"/>
      <c r="F32" s="334" t="n">
        <v>0</v>
      </c>
      <c r="G32" s="325" t="n">
        <v>0</v>
      </c>
      <c r="H32" s="325" t="n">
        <v>0</v>
      </c>
      <c r="I32" s="326" t="n">
        <v>0</v>
      </c>
      <c r="J32" s="338" t="n"/>
      <c r="K32" s="339" t="n"/>
      <c r="L32" s="329">
        <f>IF(A32="U",(G32-F32)+(I32-H32)+(K32-J32),"NÃO ÚTIL")</f>
        <v/>
      </c>
      <c r="M32" s="330">
        <f>IF(A32="U",L7,"NÃO ÚTIL")</f>
        <v/>
      </c>
      <c r="N32" s="331">
        <f>IF(A32="U",(L32-M32),"NÃO ÚTIL")</f>
        <v/>
      </c>
      <c r="O32" s="47" t="n"/>
      <c r="P32" s="332">
        <f>IF(N32="não útil",0,N32)</f>
        <v/>
      </c>
      <c r="Q32" s="337">
        <f>P32+Q31</f>
        <v/>
      </c>
      <c r="R32" s="332">
        <f>Q32+$Q$4</f>
        <v/>
      </c>
      <c r="S32" s="47">
        <f>IF(B32=T32,"HOJE",".")</f>
        <v/>
      </c>
      <c r="T32" s="62">
        <f>TODAY()</f>
        <v/>
      </c>
      <c r="U32" s="332">
        <f>IF(S32="HOJE",R32,0)</f>
        <v/>
      </c>
      <c r="V32" s="47" t="n"/>
    </row>
    <row r="33" ht="16.5" customHeight="1" thickBot="1">
      <c r="A33" s="17">
        <f>IF(OR(C33=2,C33=8),"F","U")</f>
        <v/>
      </c>
      <c r="B33" s="46">
        <f>B32+1</f>
        <v/>
      </c>
      <c r="C33" s="333">
        <f>WEEKDAY(B33)+1</f>
        <v/>
      </c>
      <c r="D33" s="297" t="n"/>
      <c r="E33" s="298" t="n"/>
      <c r="F33" s="342" t="n">
        <v>0</v>
      </c>
      <c r="G33" s="343" t="n">
        <v>0</v>
      </c>
      <c r="H33" s="343" t="n">
        <v>0</v>
      </c>
      <c r="I33" s="344" t="n">
        <v>0</v>
      </c>
      <c r="J33" s="340" t="n"/>
      <c r="K33" s="341" t="n"/>
      <c r="L33" s="329">
        <f>IF(A33="U",(G33-F33)+(I33-H33)+(K33-J33),"NÃO ÚTIL")</f>
        <v/>
      </c>
      <c r="M33" s="330">
        <f>IF(A33="U",L7,"NÃO ÚTIL")</f>
        <v/>
      </c>
      <c r="N33" s="331">
        <f>IF(A33="U",(L33-M33),"NÃO ÚTIL")</f>
        <v/>
      </c>
      <c r="O33" s="47" t="n"/>
      <c r="P33" s="332">
        <f>IF(N33="não útil",0,N33)</f>
        <v/>
      </c>
      <c r="Q33" s="337">
        <f>P33+Q32</f>
        <v/>
      </c>
      <c r="R33" s="332">
        <f>Q33+$Q$4</f>
        <v/>
      </c>
      <c r="S33" s="47">
        <f>IF(B33=T33,"HOJE",".")</f>
        <v/>
      </c>
      <c r="T33" s="62">
        <f>TODAY()</f>
        <v/>
      </c>
      <c r="U33" s="332">
        <f>IF(S33="HOJE",R33,0)</f>
        <v/>
      </c>
      <c r="V33" s="47" t="n"/>
    </row>
    <row r="34" ht="16.5" customHeight="1" thickBot="1">
      <c r="A34" s="17">
        <f>IF(OR(C34=2,C34=8),"F","U")</f>
        <v/>
      </c>
      <c r="B34" s="46">
        <f>B33+1</f>
        <v/>
      </c>
      <c r="C34" s="333">
        <f>WEEKDAY(B34)+1</f>
        <v/>
      </c>
      <c r="D34" s="297" t="n"/>
      <c r="E34" s="298" t="n"/>
      <c r="F34" s="342" t="n">
        <v>0</v>
      </c>
      <c r="G34" s="343" t="n">
        <v>0</v>
      </c>
      <c r="H34" s="343" t="n">
        <v>0</v>
      </c>
      <c r="I34" s="344" t="n">
        <v>0</v>
      </c>
      <c r="J34" s="338" t="n"/>
      <c r="K34" s="345" t="n"/>
      <c r="L34" s="329">
        <f>IF(A34="U",(G34-F34)+(I34-H34)+(K34-J34),"NÃO ÚTIL")</f>
        <v/>
      </c>
      <c r="M34" s="330">
        <f>IF(A34="U",L7,"NÃO ÚTIL")</f>
        <v/>
      </c>
      <c r="N34" s="331">
        <f>IF(A34="U",(L34-M34),"NÃO ÚTIL")</f>
        <v/>
      </c>
      <c r="O34" s="47" t="n"/>
      <c r="P34" s="332">
        <f>IF(N34="não útil",0,N34)</f>
        <v/>
      </c>
      <c r="Q34" s="337">
        <f>P34+Q33</f>
        <v/>
      </c>
      <c r="R34" s="332">
        <f>Q34+$Q$4</f>
        <v/>
      </c>
      <c r="S34" s="47">
        <f>IF(B34=T34,"HOJE",".")</f>
        <v/>
      </c>
      <c r="T34" s="62">
        <f>TODAY()</f>
        <v/>
      </c>
      <c r="U34" s="332">
        <f>IF(S34="HOJE",R34,0)</f>
        <v/>
      </c>
      <c r="V34" s="47" t="n"/>
    </row>
    <row r="35" ht="16.5" customHeight="1" thickBot="1">
      <c r="A35" s="17">
        <f>IF(OR(C35=2,C35=8),"F","U")</f>
        <v/>
      </c>
      <c r="B35" s="46">
        <f>B34+1</f>
        <v/>
      </c>
      <c r="C35" s="333">
        <f>WEEKDAY(B35)+1</f>
        <v/>
      </c>
      <c r="D35" s="297" t="n"/>
      <c r="E35" s="298" t="n"/>
      <c r="F35" s="334" t="n">
        <v>0</v>
      </c>
      <c r="G35" s="325" t="n">
        <v>0</v>
      </c>
      <c r="H35" s="325" t="n">
        <v>0</v>
      </c>
      <c r="I35" s="326" t="n">
        <v>0</v>
      </c>
      <c r="J35" s="338" t="n"/>
      <c r="K35" s="339" t="n"/>
      <c r="L35" s="329">
        <f>IF(A35="U",(G35-F35)+(I35-H35)+(K35-J35),"NÃO ÚTIL")</f>
        <v/>
      </c>
      <c r="M35" s="330">
        <f>IF(A35="U",L7,"NÃO ÚTIL")</f>
        <v/>
      </c>
      <c r="N35" s="331">
        <f>IF(A35="U",(L35-M35),"NÃO ÚTIL")</f>
        <v/>
      </c>
      <c r="O35" s="47" t="n"/>
      <c r="P35" s="332">
        <f>IF(N35="não útil",0,N35)</f>
        <v/>
      </c>
      <c r="Q35" s="337">
        <f>P35+Q34</f>
        <v/>
      </c>
      <c r="R35" s="332">
        <f>Q35+$Q$4</f>
        <v/>
      </c>
      <c r="S35" s="47">
        <f>IF(B35=T35,"HOJE",".")</f>
        <v/>
      </c>
      <c r="T35" s="62">
        <f>TODAY()</f>
        <v/>
      </c>
      <c r="U35" s="332">
        <f>IF(S35="HOJE",R35,0)</f>
        <v/>
      </c>
      <c r="V35" s="47" t="n"/>
    </row>
    <row r="36" ht="16.5" customHeight="1" thickBot="1">
      <c r="A36" s="17">
        <f>IF(OR(C36=2,C36=8),"F","U")</f>
        <v/>
      </c>
      <c r="B36" s="46">
        <f>B35+1</f>
        <v/>
      </c>
      <c r="C36" s="333">
        <f>WEEKDAY(B36)+1</f>
        <v/>
      </c>
      <c r="D36" s="297" t="n"/>
      <c r="E36" s="298" t="n"/>
      <c r="F36" s="334" t="n">
        <v>0</v>
      </c>
      <c r="G36" s="325" t="n">
        <v>0</v>
      </c>
      <c r="H36" s="325" t="n">
        <v>0</v>
      </c>
      <c r="I36" s="326" t="n">
        <v>0</v>
      </c>
      <c r="J36" s="335" t="n"/>
      <c r="K36" s="336" t="n"/>
      <c r="L36" s="329">
        <f>IF(A36="U",(G36-F36)+(I36-H36)+(K36-J36),"NÃO ÚTIL")</f>
        <v/>
      </c>
      <c r="M36" s="330">
        <f>IF(A36="U",L7,"NÃO ÚTIL")</f>
        <v/>
      </c>
      <c r="N36" s="331">
        <f>IF(A36="U",(L36-M36),"NÃO ÚTIL")</f>
        <v/>
      </c>
      <c r="O36" s="47" t="n"/>
      <c r="P36" s="332">
        <f>IF(N36="não útil",0,N36)</f>
        <v/>
      </c>
      <c r="Q36" s="337">
        <f>P36+Q35</f>
        <v/>
      </c>
      <c r="R36" s="332">
        <f>Q36+$Q$4</f>
        <v/>
      </c>
      <c r="S36" s="47">
        <f>IF(B36=T36,"HOJE",".")</f>
        <v/>
      </c>
      <c r="T36" s="62">
        <f>TODAY()</f>
        <v/>
      </c>
      <c r="U36" s="332">
        <f>IF(S36="HOJE",R36,0)</f>
        <v/>
      </c>
      <c r="V36" s="47" t="n"/>
    </row>
    <row r="37" ht="16.5" customHeight="1" thickBot="1">
      <c r="A37" s="17">
        <f>IF(OR(C37=2,C37=8),"F","U")</f>
        <v/>
      </c>
      <c r="B37" s="46">
        <f>B36+1</f>
        <v/>
      </c>
      <c r="C37" s="333">
        <f>WEEKDAY(B37)+1</f>
        <v/>
      </c>
      <c r="D37" s="297" t="n"/>
      <c r="E37" s="298" t="n"/>
      <c r="F37" s="334" t="n">
        <v>0</v>
      </c>
      <c r="G37" s="325" t="n">
        <v>0</v>
      </c>
      <c r="H37" s="325" t="n">
        <v>0</v>
      </c>
      <c r="I37" s="326" t="n">
        <v>0</v>
      </c>
      <c r="J37" s="338" t="n"/>
      <c r="K37" s="345" t="n"/>
      <c r="L37" s="329">
        <f>IF(A37="U",(G37-F37)+(I37-H37)+(K37-J37),"NÃO ÚTIL")</f>
        <v/>
      </c>
      <c r="M37" s="330">
        <f>IF(A37="U",L7,"NÃO ÚTIL")</f>
        <v/>
      </c>
      <c r="N37" s="331">
        <f>IF(A37="U",(L37-M37),"NÃO ÚTIL")</f>
        <v/>
      </c>
      <c r="O37" s="47" t="n"/>
      <c r="P37" s="332">
        <f>IF(N37="não útil",0,N37)</f>
        <v/>
      </c>
      <c r="Q37" s="337">
        <f>P37+Q36</f>
        <v/>
      </c>
      <c r="R37" s="332">
        <f>Q37+$Q$4</f>
        <v/>
      </c>
      <c r="S37" s="47">
        <f>IF(B37=T37,"HOJE",".")</f>
        <v/>
      </c>
      <c r="T37" s="62">
        <f>TODAY()</f>
        <v/>
      </c>
      <c r="U37" s="332">
        <f>IF(S37="HOJE",R37,0)</f>
        <v/>
      </c>
      <c r="V37" s="47" t="n"/>
    </row>
    <row r="38" ht="16.5" customHeight="1" thickBot="1">
      <c r="A38" s="17">
        <f>IF(OR(C38=2,C38=8),"F","U")</f>
        <v/>
      </c>
      <c r="B38" s="46">
        <f>B37+1</f>
        <v/>
      </c>
      <c r="C38" s="333">
        <f>WEEKDAY(B38)+1</f>
        <v/>
      </c>
      <c r="D38" s="297" t="n"/>
      <c r="E38" s="298" t="n"/>
      <c r="F38" s="334" t="n">
        <v>0</v>
      </c>
      <c r="G38" s="325" t="n">
        <v>0</v>
      </c>
      <c r="H38" s="325" t="n">
        <v>0</v>
      </c>
      <c r="I38" s="326" t="n">
        <v>0</v>
      </c>
      <c r="J38" s="340" t="n"/>
      <c r="K38" s="345" t="n"/>
      <c r="L38" s="329">
        <f>IF(A38="U",(G38-F38)+(I38-H38)+(K38-J38),"NÃO ÚTIL")</f>
        <v/>
      </c>
      <c r="M38" s="330">
        <f>IF(A38="U",L7,"NÃO ÚTIL")</f>
        <v/>
      </c>
      <c r="N38" s="331">
        <f>IF(A38="U",(L38-M38),"NÃO ÚTIL")</f>
        <v/>
      </c>
      <c r="O38" s="47" t="n"/>
      <c r="P38" s="332">
        <f>IF(N38="não útil",0,N38)</f>
        <v/>
      </c>
      <c r="Q38" s="337">
        <f>P38+Q37</f>
        <v/>
      </c>
      <c r="R38" s="332">
        <f>Q38+$Q$4</f>
        <v/>
      </c>
      <c r="S38" s="47">
        <f>IF(B38=T38,"HOJE",".")</f>
        <v/>
      </c>
      <c r="T38" s="62">
        <f>TODAY()</f>
        <v/>
      </c>
      <c r="U38" s="332">
        <f>IF(S38="HOJE",R38,0)</f>
        <v/>
      </c>
      <c r="V38" s="47" t="n"/>
    </row>
    <row r="39" ht="16.5" customHeight="1" thickBot="1">
      <c r="A39" s="17">
        <f>IF(OR(C39=2,C39=8),"F","U")</f>
        <v/>
      </c>
      <c r="B39" s="46">
        <f>B38+1</f>
        <v/>
      </c>
      <c r="C39" s="333">
        <f>WEEKDAY(B39)+1</f>
        <v/>
      </c>
      <c r="D39" s="297" t="n"/>
      <c r="E39" s="298" t="n"/>
      <c r="F39" s="334" t="n">
        <v>0</v>
      </c>
      <c r="G39" s="325" t="n">
        <v>0</v>
      </c>
      <c r="H39" s="325" t="n">
        <v>0</v>
      </c>
      <c r="I39" s="326" t="n">
        <v>0</v>
      </c>
      <c r="J39" s="338" t="n"/>
      <c r="K39" s="339" t="n"/>
      <c r="L39" s="329">
        <f>IF(A39="U",(G39-F39)+(I39-H39)+(K39-J39),"NÃO ÚTIL")</f>
        <v/>
      </c>
      <c r="M39" s="330">
        <f>IF(A39="U",L7,"NÃO ÚTIL")</f>
        <v/>
      </c>
      <c r="N39" s="331">
        <f>IF(A39="U",(L39-M39),"NÃO ÚTIL")</f>
        <v/>
      </c>
      <c r="O39" s="47" t="n"/>
      <c r="P39" s="332">
        <f>IF(N39="não útil",0,N39)</f>
        <v/>
      </c>
      <c r="Q39" s="337">
        <f>P39+Q38</f>
        <v/>
      </c>
      <c r="R39" s="332">
        <f>Q39+$Q$4</f>
        <v/>
      </c>
      <c r="S39" s="47">
        <f>IF(B39=T39,"HOJE",".")</f>
        <v/>
      </c>
      <c r="T39" s="62">
        <f>TODAY()</f>
        <v/>
      </c>
      <c r="U39" s="332">
        <f>IF(S39="HOJE",R39,0)</f>
        <v/>
      </c>
      <c r="V39" s="47" t="n"/>
    </row>
    <row r="40" ht="16.5" customHeight="1" thickBot="1">
      <c r="A40" s="17">
        <f>IF(OR(C40=2,C40=8),"F","U")</f>
        <v/>
      </c>
      <c r="B40" s="46">
        <f>B39+1</f>
        <v/>
      </c>
      <c r="C40" s="333">
        <f>WEEKDAY(B40)+1</f>
        <v/>
      </c>
      <c r="D40" s="297" t="n"/>
      <c r="E40" s="298" t="n"/>
      <c r="F40" s="342" t="n">
        <v>0</v>
      </c>
      <c r="G40" s="343" t="n">
        <v>0</v>
      </c>
      <c r="H40" s="343" t="n">
        <v>0</v>
      </c>
      <c r="I40" s="344" t="n">
        <v>0</v>
      </c>
      <c r="J40" s="340" t="n"/>
      <c r="K40" s="341" t="n"/>
      <c r="L40" s="329">
        <f>IF(A40="U",(G40-F40)+(I40-H40)+(K40-J40),"NÃO ÚTIL")</f>
        <v/>
      </c>
      <c r="M40" s="330">
        <f>IF(A40="U",L7,"NÃO ÚTIL")</f>
        <v/>
      </c>
      <c r="N40" s="331">
        <f>IF(A40="U",(L40-M40),"NÃO ÚTIL")</f>
        <v/>
      </c>
      <c r="O40" s="47" t="n"/>
      <c r="P40" s="332">
        <f>IF(N40="não útil",0,N40)</f>
        <v/>
      </c>
      <c r="Q40" s="337">
        <f>P40+Q39</f>
        <v/>
      </c>
      <c r="R40" s="332">
        <f>Q40+$Q$4</f>
        <v/>
      </c>
      <c r="S40" s="47">
        <f>IF(B40=T40,"HOJE",".")</f>
        <v/>
      </c>
      <c r="T40" s="62">
        <f>TODAY()</f>
        <v/>
      </c>
      <c r="U40" s="332">
        <f>IF(S40="HOJE",R40,0)</f>
        <v/>
      </c>
      <c r="V40" s="47" t="n"/>
    </row>
    <row r="41" ht="16.5" customHeight="1" thickBot="1">
      <c r="A41" s="17">
        <f>IF(OR(C41=2,C41=8),"F","U")</f>
        <v/>
      </c>
      <c r="B41" s="46">
        <f>B40+1</f>
        <v/>
      </c>
      <c r="C41" s="333">
        <f>WEEKDAY(B41)+1</f>
        <v/>
      </c>
      <c r="D41" s="297" t="n"/>
      <c r="E41" s="298" t="n"/>
      <c r="F41" s="342" t="n">
        <v>0</v>
      </c>
      <c r="G41" s="343" t="n">
        <v>0</v>
      </c>
      <c r="H41" s="343" t="n">
        <v>0</v>
      </c>
      <c r="I41" s="344" t="n">
        <v>0</v>
      </c>
      <c r="J41" s="338" t="n"/>
      <c r="K41" s="339" t="n"/>
      <c r="L41" s="329">
        <f>IF(A41="U",(G41-F41)+(I41-H41)+(K41-J41),"NÃO ÚTIL")</f>
        <v/>
      </c>
      <c r="M41" s="330">
        <f>IF(A41="U",L7,"NÃO ÚTIL")</f>
        <v/>
      </c>
      <c r="N41" s="331">
        <f>IF(A41="U",(L41-M41),"NÃO ÚTIL")</f>
        <v/>
      </c>
      <c r="O41" s="47" t="n"/>
      <c r="P41" s="332">
        <f>IF(N41="não útil",0,N41)</f>
        <v/>
      </c>
      <c r="Q41" s="337">
        <f>P41+Q40</f>
        <v/>
      </c>
      <c r="R41" s="332">
        <f>Q41+$Q$4</f>
        <v/>
      </c>
      <c r="S41" s="47">
        <f>IF(B41=T41,"HOJE",".")</f>
        <v/>
      </c>
      <c r="T41" s="62">
        <f>TODAY()</f>
        <v/>
      </c>
      <c r="U41" s="332">
        <f>IF(S41="HOJE",R41,0)</f>
        <v/>
      </c>
      <c r="V41" s="47" t="n"/>
    </row>
    <row r="42" ht="16.5" customHeight="1" thickBot="1">
      <c r="A42" s="17">
        <f>IF(OR(C42=2,C42=8),"F","U")</f>
        <v/>
      </c>
      <c r="B42" s="46">
        <f>B41+1</f>
        <v/>
      </c>
      <c r="C42" s="333">
        <f>WEEKDAY(B42)+1</f>
        <v/>
      </c>
      <c r="D42" s="297" t="n"/>
      <c r="E42" s="298" t="n"/>
      <c r="F42" s="334" t="n">
        <v>0</v>
      </c>
      <c r="G42" s="325" t="n">
        <v>0</v>
      </c>
      <c r="H42" s="325" t="n">
        <v>0</v>
      </c>
      <c r="I42" s="326" t="n">
        <v>0</v>
      </c>
      <c r="J42" s="338" t="n"/>
      <c r="K42" s="341" t="n"/>
      <c r="L42" s="329">
        <f>IF(A42="U",(G42-F42)+(I42-H42)+(K42-J42),"NÃO ÚTIL")</f>
        <v/>
      </c>
      <c r="M42" s="330">
        <f>IF(A42="U",L7,"NÃO ÚTIL")</f>
        <v/>
      </c>
      <c r="N42" s="331">
        <f>IF(A42="U",(L42-M42),"NÃO ÚTIL")</f>
        <v/>
      </c>
      <c r="O42" s="47" t="n"/>
      <c r="P42" s="332">
        <f>IF(N42="não útil",0,N42)</f>
        <v/>
      </c>
      <c r="Q42" s="337">
        <f>P42+Q41</f>
        <v/>
      </c>
      <c r="R42" s="332">
        <f>Q42+$Q$4</f>
        <v/>
      </c>
      <c r="S42" s="47">
        <f>IF(B42=T42,"HOJE",".")</f>
        <v/>
      </c>
      <c r="T42" s="62">
        <f>TODAY()</f>
        <v/>
      </c>
      <c r="U42" s="332">
        <f>IF(S42="HOJE",R42,0)</f>
        <v/>
      </c>
      <c r="V42" s="47" t="n"/>
    </row>
    <row r="43" ht="16.5" customHeight="1" thickBot="1">
      <c r="A43" s="17">
        <f>IF(OR(C43=2,C43=8),"F","U")</f>
        <v/>
      </c>
      <c r="B43" s="46">
        <f>B42+1</f>
        <v/>
      </c>
      <c r="C43" s="333">
        <f>WEEKDAY(B43)+1</f>
        <v/>
      </c>
      <c r="D43" s="297" t="n"/>
      <c r="E43" s="298" t="n"/>
      <c r="F43" s="334" t="n">
        <v>0</v>
      </c>
      <c r="G43" s="325" t="n">
        <v>0</v>
      </c>
      <c r="H43" s="325" t="n">
        <v>0</v>
      </c>
      <c r="I43" s="326" t="n">
        <v>0</v>
      </c>
      <c r="J43" s="338" t="n"/>
      <c r="K43" s="339" t="n"/>
      <c r="L43" s="329">
        <f>IF(A43="U",(G43-F43)+(I43-H43)+(K43-J43),"NÃO ÚTIL")</f>
        <v/>
      </c>
      <c r="M43" s="330">
        <f>IF(A43="U",L7,"NÃO ÚTIL")</f>
        <v/>
      </c>
      <c r="N43" s="331">
        <f>IF(A43="U",(L43-M43),"NÃO ÚTIL")</f>
        <v/>
      </c>
      <c r="O43" s="47" t="n"/>
      <c r="P43" s="332">
        <f>IF(N43="não útil",0,N43)</f>
        <v/>
      </c>
      <c r="Q43" s="337">
        <f>P43+Q42</f>
        <v/>
      </c>
      <c r="R43" s="332">
        <f>Q43+$Q$4</f>
        <v/>
      </c>
      <c r="S43" s="47">
        <f>IF(B43=T43,"HOJE",".")</f>
        <v/>
      </c>
      <c r="T43" s="62">
        <f>TODAY()</f>
        <v/>
      </c>
      <c r="U43" s="332">
        <f>IF(S43="HOJE",R43,0)</f>
        <v/>
      </c>
      <c r="V43" s="47" t="n"/>
    </row>
    <row r="44" ht="16.5" customHeight="1" thickBot="1">
      <c r="A44" s="17">
        <f>IF(OR(C44=2,C44=8),"F","U")</f>
        <v/>
      </c>
      <c r="B44" s="46">
        <f>B43+1</f>
        <v/>
      </c>
      <c r="C44" s="333">
        <f>WEEKDAY(B44)+1</f>
        <v/>
      </c>
      <c r="D44" s="297" t="n"/>
      <c r="E44" s="298" t="n"/>
      <c r="F44" s="334" t="n">
        <v>0</v>
      </c>
      <c r="G44" s="325" t="n">
        <v>0</v>
      </c>
      <c r="H44" s="325" t="n">
        <v>0</v>
      </c>
      <c r="I44" s="326" t="n">
        <v>0</v>
      </c>
      <c r="J44" s="338" t="n"/>
      <c r="K44" s="339" t="n"/>
      <c r="L44" s="329">
        <f>IF(A44="U",(G44-F44)+(I44-H44)+(K44-J44),"NÃO ÚTIL")</f>
        <v/>
      </c>
      <c r="M44" s="330">
        <f>IF(A44="U",L7,"NÃO ÚTIL")</f>
        <v/>
      </c>
      <c r="N44" s="331">
        <f>IF(A44="U",(L44-M44),"NÃO ÚTIL")</f>
        <v/>
      </c>
      <c r="O44" s="47" t="n"/>
      <c r="P44" s="332">
        <f>IF(N44="não útil",0,N44)</f>
        <v/>
      </c>
      <c r="Q44" s="337">
        <f>P44+Q43</f>
        <v/>
      </c>
      <c r="R44" s="332">
        <f>Q44+$Q$4</f>
        <v/>
      </c>
      <c r="S44" s="47">
        <f>IF(B44=T44,"HOJE",".")</f>
        <v/>
      </c>
      <c r="T44" s="62">
        <f>TODAY()</f>
        <v/>
      </c>
      <c r="U44" s="332">
        <f>IF(S44="HOJE",R44,0)</f>
        <v/>
      </c>
      <c r="V44" s="47" t="n"/>
    </row>
    <row r="45" ht="23.25" customHeight="1" thickBot="1">
      <c r="A45" s="346" t="inlineStr">
        <is>
          <t>TOTAL MÊS:</t>
        </is>
      </c>
      <c r="B45" s="347" t="n"/>
      <c r="C45" s="347" t="n"/>
      <c r="D45" s="347" t="n"/>
      <c r="E45" s="347" t="n"/>
      <c r="F45" s="347" t="n"/>
      <c r="G45" s="347" t="n"/>
      <c r="H45" s="347" t="n"/>
      <c r="I45" s="347" t="n"/>
      <c r="J45" s="347" t="n"/>
      <c r="K45" s="348" t="n"/>
      <c r="L45" s="349">
        <f>SUM(L14:L44)</f>
        <v/>
      </c>
      <c r="M45" s="349">
        <f>SUM(M14:M44)</f>
        <v/>
      </c>
      <c r="N45" s="350">
        <f>SUM(N14:N44)</f>
        <v/>
      </c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 ht="12" customHeight="1" thickBot="1">
      <c r="A46" s="157" t="inlineStr">
        <is>
          <t>OBS:</t>
        </is>
      </c>
      <c r="B46" s="351" t="n"/>
      <c r="C46" s="160" t="n"/>
      <c r="D46" s="292" t="n"/>
      <c r="E46" s="292" t="n"/>
      <c r="F46" s="292" t="n"/>
      <c r="G46" s="292" t="n"/>
      <c r="H46" s="292" t="n"/>
      <c r="I46" s="293" t="n"/>
      <c r="J46" s="161" t="n"/>
      <c r="K46" s="347" t="n"/>
      <c r="L46" s="347" t="n"/>
      <c r="M46" s="347" t="n"/>
      <c r="N46" s="352" t="inlineStr">
        <is>
          <t>HORA (S)</t>
        </is>
      </c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 ht="12" customHeight="1" thickBot="1">
      <c r="A47" s="106" t="n"/>
      <c r="B47" s="297" t="n"/>
      <c r="C47" s="297" t="n"/>
      <c r="D47" s="297" t="n"/>
      <c r="E47" s="297" t="n"/>
      <c r="F47" s="297" t="n"/>
      <c r="G47" s="297" t="n"/>
      <c r="H47" s="297" t="n"/>
      <c r="I47" s="298" t="n"/>
      <c r="J47" s="353" t="inlineStr">
        <is>
          <t>CARGA HORÁRIA TRABAHADA (MÊS)</t>
        </is>
      </c>
      <c r="K47" s="354" t="n"/>
      <c r="L47" s="355" t="n"/>
      <c r="M47" s="356">
        <f>L45</f>
        <v/>
      </c>
      <c r="N47" s="355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 ht="12" customHeight="1" thickBot="1">
      <c r="A48" s="106" t="n"/>
      <c r="B48" s="297" t="n"/>
      <c r="C48" s="297" t="n"/>
      <c r="D48" s="297" t="n"/>
      <c r="E48" s="297" t="n"/>
      <c r="F48" s="297" t="n"/>
      <c r="G48" s="297" t="n"/>
      <c r="H48" s="297" t="n"/>
      <c r="I48" s="298" t="n"/>
      <c r="J48" s="322" t="n"/>
      <c r="K48" s="322" t="n"/>
      <c r="L48" s="318" t="n"/>
      <c r="M48" s="321" t="n"/>
      <c r="N48" s="318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12" customHeight="1" thickBot="1">
      <c r="A49" s="106" t="n"/>
      <c r="B49" s="297" t="n"/>
      <c r="C49" s="297" t="n"/>
      <c r="D49" s="297" t="n"/>
      <c r="E49" s="297" t="n"/>
      <c r="F49" s="297" t="n"/>
      <c r="G49" s="297" t="n"/>
      <c r="H49" s="297" t="n"/>
      <c r="I49" s="298" t="n"/>
      <c r="J49" s="353" t="inlineStr">
        <is>
          <t>CARGA HORÁRIA PREVISTA (MÊS)</t>
        </is>
      </c>
      <c r="K49" s="354" t="n"/>
      <c r="L49" s="355" t="n"/>
      <c r="M49" s="356">
        <f>M45</f>
        <v/>
      </c>
      <c r="N49" s="355" t="n"/>
      <c r="O49" s="47" t="n"/>
      <c r="P49" s="47" t="n"/>
      <c r="Q49" s="47" t="n"/>
      <c r="R49" s="47" t="n"/>
      <c r="S49" s="47" t="n"/>
      <c r="T49" s="47" t="n"/>
      <c r="U49" s="47" t="n"/>
      <c r="V49" s="47" t="n"/>
    </row>
    <row r="50" ht="12" customHeight="1" thickBot="1">
      <c r="A50" s="106" t="n"/>
      <c r="B50" s="297" t="n"/>
      <c r="C50" s="297" t="n"/>
      <c r="D50" s="297" t="n"/>
      <c r="E50" s="297" t="n"/>
      <c r="F50" s="297" t="n"/>
      <c r="G50" s="297" t="n"/>
      <c r="H50" s="297" t="n"/>
      <c r="I50" s="298" t="n"/>
      <c r="J50" s="322" t="n"/>
      <c r="K50" s="322" t="n"/>
      <c r="L50" s="318" t="n"/>
      <c r="M50" s="321" t="n"/>
      <c r="N50" s="318" t="n"/>
      <c r="O50" s="47" t="n"/>
      <c r="P50" s="47" t="n"/>
      <c r="Q50" s="47" t="n"/>
      <c r="R50" s="47" t="n"/>
      <c r="S50" s="47" t="n"/>
      <c r="T50" s="47" t="n"/>
      <c r="U50" s="47" t="n"/>
      <c r="V50" s="47" t="n"/>
    </row>
    <row r="51" ht="12" customHeight="1" thickBot="1">
      <c r="A51" s="106" t="n"/>
      <c r="B51" s="297" t="n"/>
      <c r="C51" s="297" t="n"/>
      <c r="D51" s="297" t="n"/>
      <c r="E51" s="297" t="n"/>
      <c r="F51" s="297" t="n"/>
      <c r="G51" s="297" t="n"/>
      <c r="H51" s="297" t="n"/>
      <c r="I51" s="298" t="n"/>
      <c r="J51" s="357" t="inlineStr">
        <is>
          <t>SALDO CARGA HORÁRIA (MÊS)</t>
        </is>
      </c>
      <c r="K51" s="354" t="n"/>
      <c r="L51" s="355" t="n"/>
      <c r="M51" s="356">
        <f>N45</f>
        <v/>
      </c>
      <c r="N51" s="355" t="n"/>
      <c r="O51" s="47" t="n"/>
      <c r="P51" s="47" t="n"/>
      <c r="Q51" s="47" t="n"/>
      <c r="R51" s="47" t="n"/>
      <c r="S51" s="47" t="n"/>
      <c r="T51" s="47" t="n"/>
      <c r="U51" s="47" t="n"/>
      <c r="V51" s="47" t="n"/>
    </row>
    <row r="52" ht="12" customHeight="1" thickBot="1">
      <c r="A52" s="106" t="n"/>
      <c r="B52" s="297" t="n"/>
      <c r="C52" s="297" t="n"/>
      <c r="D52" s="297" t="n"/>
      <c r="E52" s="297" t="n"/>
      <c r="F52" s="297" t="n"/>
      <c r="G52" s="297" t="n"/>
      <c r="H52" s="297" t="n"/>
      <c r="I52" s="298" t="n"/>
      <c r="J52" s="322" t="n"/>
      <c r="K52" s="322" t="n"/>
      <c r="L52" s="318" t="n"/>
      <c r="M52" s="321" t="n"/>
      <c r="N52" s="318" t="n"/>
      <c r="O52" s="47" t="n"/>
      <c r="P52" s="47" t="n"/>
      <c r="Q52" s="47" t="n"/>
      <c r="R52" s="47" t="n"/>
      <c r="S52" s="47" t="n"/>
      <c r="T52" s="47" t="n"/>
      <c r="U52" s="47" t="n"/>
      <c r="V52" s="47" t="n"/>
    </row>
    <row r="53" ht="12" customHeight="1">
      <c r="A53" s="106" t="n"/>
      <c r="B53" s="297" t="n"/>
      <c r="C53" s="297" t="n"/>
      <c r="D53" s="297" t="n"/>
      <c r="E53" s="297" t="n"/>
      <c r="F53" s="297" t="n"/>
      <c r="G53" s="297" t="n"/>
      <c r="H53" s="297" t="n"/>
      <c r="I53" s="298" t="n"/>
      <c r="J53" s="357" t="inlineStr">
        <is>
          <t>SALDO MÊS ANTERIOR</t>
        </is>
      </c>
      <c r="K53" s="354" t="n"/>
      <c r="L53" s="355" t="n"/>
      <c r="M53" s="358" t="n"/>
      <c r="N53" s="359" t="n"/>
      <c r="O53" s="47" t="n"/>
      <c r="P53" s="47" t="n"/>
      <c r="Q53" s="47" t="n"/>
      <c r="R53" s="47" t="n"/>
      <c r="S53" s="47" t="n"/>
      <c r="T53" s="47" t="n"/>
      <c r="U53" s="47" t="n"/>
      <c r="V53" s="47" t="n"/>
    </row>
    <row r="54" ht="12" customHeight="1" thickBot="1">
      <c r="A54" s="106" t="n"/>
      <c r="B54" s="297" t="n"/>
      <c r="C54" s="297" t="n"/>
      <c r="D54" s="297" t="n"/>
      <c r="E54" s="297" t="n"/>
      <c r="F54" s="297" t="n"/>
      <c r="G54" s="297" t="n"/>
      <c r="H54" s="297" t="n"/>
      <c r="I54" s="298" t="n"/>
      <c r="J54" s="322" t="n"/>
      <c r="K54" s="322" t="n"/>
      <c r="L54" s="318" t="n"/>
      <c r="M54" s="360" t="n"/>
      <c r="N54" s="361" t="n"/>
      <c r="O54" s="47" t="n"/>
      <c r="P54" s="47" t="n"/>
      <c r="Q54" s="47" t="n"/>
      <c r="R54" s="47" t="n"/>
      <c r="S54" s="47" t="n"/>
      <c r="T54" s="47" t="n"/>
      <c r="U54" s="47" t="n"/>
      <c r="V54" s="47" t="n"/>
    </row>
    <row r="55" ht="12" customHeight="1">
      <c r="A55" s="106" t="n"/>
      <c r="B55" s="297" t="n"/>
      <c r="C55" s="297" t="n"/>
      <c r="D55" s="297" t="n"/>
      <c r="E55" s="297" t="n"/>
      <c r="F55" s="297" t="n"/>
      <c r="G55" s="297" t="n"/>
      <c r="H55" s="297" t="n"/>
      <c r="I55" s="298" t="n"/>
      <c r="J55" s="362" t="inlineStr">
        <is>
          <t>SALDO TOTAL</t>
        </is>
      </c>
      <c r="K55" s="354" t="n"/>
      <c r="L55" s="355" t="n"/>
      <c r="M55" s="356">
        <f>SUM(M51:N54)</f>
        <v/>
      </c>
      <c r="N55" s="355" t="n"/>
      <c r="O55" s="47" t="n"/>
      <c r="P55" s="47" t="n"/>
      <c r="Q55" s="47" t="n"/>
      <c r="R55" s="47" t="n"/>
      <c r="S55" s="47" t="n"/>
      <c r="T55" s="47" t="n"/>
      <c r="U55" s="47" t="n"/>
      <c r="V55" s="47" t="n"/>
    </row>
    <row r="56" ht="12" customHeight="1" thickBot="1">
      <c r="A56" s="106" t="n"/>
      <c r="B56" s="297" t="n"/>
      <c r="C56" s="297" t="n"/>
      <c r="D56" s="297" t="n"/>
      <c r="E56" s="297" t="n"/>
      <c r="F56" s="297" t="n"/>
      <c r="G56" s="297" t="n"/>
      <c r="H56" s="297" t="n"/>
      <c r="I56" s="298" t="n"/>
      <c r="J56" s="322" t="n"/>
      <c r="K56" s="322" t="n"/>
      <c r="L56" s="318" t="n"/>
      <c r="M56" s="321" t="n"/>
      <c r="N56" s="318" t="n"/>
      <c r="O56" s="47" t="n"/>
      <c r="P56" s="47" t="n"/>
      <c r="Q56" s="47" t="n"/>
      <c r="R56" s="47" t="n"/>
      <c r="S56" s="47" t="n"/>
      <c r="T56" s="47" t="n"/>
      <c r="U56" s="47" t="n"/>
      <c r="V56" s="47" t="n"/>
    </row>
    <row r="57" ht="12" customHeight="1" thickBot="1">
      <c r="A57" s="106" t="n"/>
      <c r="B57" s="297" t="n"/>
      <c r="C57" s="297" t="n"/>
      <c r="D57" s="297" t="n"/>
      <c r="E57" s="297" t="n"/>
      <c r="F57" s="297" t="n"/>
      <c r="G57" s="297" t="n"/>
      <c r="H57" s="297" t="n"/>
      <c r="I57" s="298" t="n"/>
      <c r="J57" s="357" t="inlineStr">
        <is>
          <t>SALDO: CREDOR? DEVEDOR?</t>
        </is>
      </c>
      <c r="K57" s="354" t="n"/>
      <c r="L57" s="355" t="n"/>
      <c r="M57" s="363">
        <f>IF(M55&lt;0,"DVEEDOR","CREDOR")</f>
        <v/>
      </c>
      <c r="N57" s="355" t="n"/>
      <c r="O57" s="47" t="n"/>
      <c r="P57" s="47" t="n"/>
      <c r="Q57" s="47" t="n"/>
      <c r="R57" s="47" t="n"/>
      <c r="S57" s="47" t="n"/>
      <c r="T57" s="47" t="n"/>
      <c r="U57" s="47" t="n"/>
      <c r="V57" s="47" t="n"/>
    </row>
    <row r="58" ht="12" customHeight="1" thickBot="1">
      <c r="A58" s="106" t="n"/>
      <c r="B58" s="297" t="n"/>
      <c r="C58" s="297" t="n"/>
      <c r="D58" s="297" t="n"/>
      <c r="E58" s="297" t="n"/>
      <c r="F58" s="297" t="n"/>
      <c r="G58" s="297" t="n"/>
      <c r="H58" s="297" t="n"/>
      <c r="I58" s="298" t="n"/>
      <c r="J58" s="322" t="n"/>
      <c r="K58" s="322" t="n"/>
      <c r="L58" s="318" t="n"/>
      <c r="M58" s="321" t="n"/>
      <c r="N58" s="318" t="n"/>
      <c r="O58" s="47" t="n"/>
      <c r="P58" s="47" t="n"/>
      <c r="Q58" s="47" t="n"/>
      <c r="R58" s="47" t="n"/>
      <c r="S58" s="47" t="n"/>
      <c r="T58" s="47" t="n"/>
      <c r="U58" s="47" t="n"/>
      <c r="V58" s="47" t="n"/>
    </row>
    <row r="59" ht="12" customHeight="1">
      <c r="A59" s="106" t="n"/>
      <c r="B59" s="297" t="n"/>
      <c r="C59" s="297" t="n"/>
      <c r="D59" s="297" t="n"/>
      <c r="E59" s="297" t="n"/>
      <c r="F59" s="297" t="n"/>
      <c r="G59" s="297" t="n"/>
      <c r="H59" s="297" t="n"/>
      <c r="I59" s="298" t="n"/>
      <c r="J59" s="260" t="n"/>
      <c r="K59" s="354" t="n"/>
      <c r="L59" s="355" t="n"/>
      <c r="M59" s="364" t="n"/>
      <c r="N59" s="355" t="n"/>
      <c r="O59" s="47" t="n"/>
      <c r="P59" s="47" t="n"/>
      <c r="Q59" s="47" t="n"/>
      <c r="R59" s="47" t="n"/>
      <c r="S59" s="47" t="n"/>
      <c r="T59" s="47" t="n"/>
      <c r="U59" s="47" t="n"/>
      <c r="V59" s="47" t="n"/>
    </row>
    <row r="60" ht="12" customHeight="1" thickBot="1">
      <c r="A60" s="106" t="n"/>
      <c r="B60" s="297" t="n"/>
      <c r="C60" s="297" t="n"/>
      <c r="D60" s="297" t="n"/>
      <c r="E60" s="297" t="n"/>
      <c r="F60" s="297" t="n"/>
      <c r="G60" s="297" t="n"/>
      <c r="H60" s="297" t="n"/>
      <c r="I60" s="298" t="n"/>
      <c r="J60" s="322" t="n"/>
      <c r="K60" s="322" t="n"/>
      <c r="L60" s="318" t="n"/>
      <c r="M60" s="321" t="n"/>
      <c r="N60" s="318" t="n"/>
      <c r="O60" s="47" t="n"/>
      <c r="P60" s="47" t="n"/>
      <c r="Q60" s="47" t="n"/>
      <c r="R60" s="47" t="n"/>
      <c r="S60" s="47" t="n"/>
      <c r="T60" s="47" t="n"/>
      <c r="U60" s="47" t="n"/>
      <c r="V60" s="47" t="n"/>
    </row>
    <row r="61" ht="12" customHeight="1">
      <c r="A61" s="106" t="n"/>
      <c r="B61" s="297" t="n"/>
      <c r="C61" s="297" t="n"/>
      <c r="D61" s="297" t="n"/>
      <c r="E61" s="297" t="n"/>
      <c r="F61" s="297" t="n"/>
      <c r="G61" s="297" t="n"/>
      <c r="H61" s="297" t="n"/>
      <c r="I61" s="298" t="n"/>
      <c r="J61" s="260" t="n"/>
      <c r="K61" s="354" t="n"/>
      <c r="L61" s="355" t="n"/>
      <c r="M61" s="364" t="n"/>
      <c r="N61" s="355" t="n"/>
      <c r="O61" s="47" t="n"/>
      <c r="P61" s="47" t="n"/>
      <c r="Q61" s="47" t="n"/>
      <c r="R61" s="47" t="n"/>
      <c r="S61" s="47" t="n"/>
      <c r="T61" s="47" t="n"/>
      <c r="U61" s="47" t="n"/>
      <c r="V61" s="47" t="n"/>
    </row>
    <row r="62" ht="12" customHeight="1" thickBot="1">
      <c r="A62" s="116" t="n"/>
      <c r="B62" s="312" t="n"/>
      <c r="C62" s="312" t="n"/>
      <c r="D62" s="312" t="n"/>
      <c r="E62" s="312" t="n"/>
      <c r="F62" s="312" t="n"/>
      <c r="G62" s="312" t="n"/>
      <c r="H62" s="312" t="n"/>
      <c r="I62" s="313" t="n"/>
      <c r="J62" s="322" t="n"/>
      <c r="K62" s="322" t="n"/>
      <c r="L62" s="318" t="n"/>
      <c r="M62" s="321" t="n"/>
      <c r="N62" s="318" t="n"/>
      <c r="O62" s="47" t="n"/>
      <c r="P62" s="47" t="n"/>
      <c r="Q62" s="47" t="n"/>
      <c r="R62" s="47" t="n"/>
      <c r="S62" s="47" t="n"/>
      <c r="T62" s="47" t="n"/>
      <c r="U62" s="47" t="n"/>
      <c r="V62" s="47" t="n"/>
    </row>
    <row r="63">
      <c r="D63" s="51" t="n"/>
      <c r="E63" s="51" t="n"/>
      <c r="F63" s="51" t="n"/>
      <c r="G63" s="51" t="n"/>
      <c r="H63" s="51" t="n"/>
      <c r="I63" s="51" t="n"/>
      <c r="J63" s="51" t="n"/>
      <c r="K63" s="51" t="n"/>
      <c r="L63" s="104" t="inlineStr">
        <is>
          <t>Colaboração do Tônio</t>
        </is>
      </c>
      <c r="M63" s="354" t="n"/>
      <c r="N63" s="354" t="n"/>
    </row>
    <row r="64"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</row>
  </sheetData>
  <mergeCells count="95">
    <mergeCell ref="C44:E44"/>
    <mergeCell ref="A12:E13"/>
    <mergeCell ref="C31:E31"/>
    <mergeCell ref="J10:K10"/>
    <mergeCell ref="C40:E40"/>
    <mergeCell ref="A56:I56"/>
    <mergeCell ref="C21:E21"/>
    <mergeCell ref="M57:N58"/>
    <mergeCell ref="A7:B7"/>
    <mergeCell ref="C23:E23"/>
    <mergeCell ref="A53:I53"/>
    <mergeCell ref="A62:I62"/>
    <mergeCell ref="R12:S12"/>
    <mergeCell ref="J59:L60"/>
    <mergeCell ref="C18:E18"/>
    <mergeCell ref="J55:L56"/>
    <mergeCell ref="M49:N50"/>
    <mergeCell ref="C34:E34"/>
    <mergeCell ref="A48:I48"/>
    <mergeCell ref="C42:E42"/>
    <mergeCell ref="A59:I59"/>
    <mergeCell ref="A61:I61"/>
    <mergeCell ref="J47:L48"/>
    <mergeCell ref="C20:E20"/>
    <mergeCell ref="C25:E25"/>
    <mergeCell ref="C8:I8"/>
    <mergeCell ref="A11:B11"/>
    <mergeCell ref="C22:E22"/>
    <mergeCell ref="L8:N8"/>
    <mergeCell ref="J51:L52"/>
    <mergeCell ref="L63:N63"/>
    <mergeCell ref="J57:L58"/>
    <mergeCell ref="C39:E39"/>
    <mergeCell ref="A46:B46"/>
    <mergeCell ref="C32:E32"/>
    <mergeCell ref="C38:E38"/>
    <mergeCell ref="A52:I52"/>
    <mergeCell ref="A3:N3"/>
    <mergeCell ref="J49:L50"/>
    <mergeCell ref="A5:N5"/>
    <mergeCell ref="A8:B8"/>
    <mergeCell ref="C15:E15"/>
    <mergeCell ref="F11:H11"/>
    <mergeCell ref="C24:E24"/>
    <mergeCell ref="H12:I12"/>
    <mergeCell ref="C33:E33"/>
    <mergeCell ref="J12:K12"/>
    <mergeCell ref="A49:I49"/>
    <mergeCell ref="A4:N4"/>
    <mergeCell ref="M51:N52"/>
    <mergeCell ref="C26:E26"/>
    <mergeCell ref="C46:I46"/>
    <mergeCell ref="C35:E35"/>
    <mergeCell ref="C16:E16"/>
    <mergeCell ref="K9:L9"/>
    <mergeCell ref="J46:M46"/>
    <mergeCell ref="C7:I7"/>
    <mergeCell ref="A55:I55"/>
    <mergeCell ref="A45:K45"/>
    <mergeCell ref="M61:N62"/>
    <mergeCell ref="K6:N6"/>
    <mergeCell ref="C11:E11"/>
    <mergeCell ref="C36:E36"/>
    <mergeCell ref="A57:I57"/>
    <mergeCell ref="M53:N54"/>
    <mergeCell ref="M47:N48"/>
    <mergeCell ref="C28:E28"/>
    <mergeCell ref="C37:E37"/>
    <mergeCell ref="M59:N60"/>
    <mergeCell ref="A2:N2"/>
    <mergeCell ref="C10:I10"/>
    <mergeCell ref="C30:E30"/>
    <mergeCell ref="C14:E14"/>
    <mergeCell ref="I11:N11"/>
    <mergeCell ref="P12:Q12"/>
    <mergeCell ref="C9:I9"/>
    <mergeCell ref="C41:E41"/>
    <mergeCell ref="J61:L62"/>
    <mergeCell ref="A50:I50"/>
    <mergeCell ref="C43:E43"/>
    <mergeCell ref="A6:B6"/>
    <mergeCell ref="F12:G12"/>
    <mergeCell ref="C27:E27"/>
    <mergeCell ref="A47:I47"/>
    <mergeCell ref="J53:L54"/>
    <mergeCell ref="C17:E17"/>
    <mergeCell ref="C6:I6"/>
    <mergeCell ref="C19:E19"/>
    <mergeCell ref="J7:K7"/>
    <mergeCell ref="A58:I58"/>
    <mergeCell ref="M55:N56"/>
    <mergeCell ref="A51:I51"/>
    <mergeCell ref="A60:I60"/>
    <mergeCell ref="C29:E29"/>
    <mergeCell ref="A54:I54"/>
  </mergeCells>
  <conditionalFormatting sqref="A14:A44">
    <cfRule type="containsText" priority="31" operator="containsText" dxfId="25" stopIfTrue="1" text="F">
      <formula>NOT(ISERROR(SEARCH("F",A14)))</formula>
    </cfRule>
  </conditionalFormatting>
  <conditionalFormatting sqref="C14:E44">
    <cfRule type="cellIs" priority="29" operator="equal" dxfId="11" stopIfTrue="1">
      <formula>2</formula>
    </cfRule>
    <cfRule type="cellIs" priority="30" operator="equal" dxfId="11" stopIfTrue="1">
      <formula>8</formula>
    </cfRule>
  </conditionalFormatting>
  <conditionalFormatting sqref="L45">
    <cfRule type="cellIs" priority="24" operator="equal" dxfId="10" stopIfTrue="1">
      <formula>0</formula>
    </cfRule>
  </conditionalFormatting>
  <conditionalFormatting sqref="L14:M44">
    <cfRule type="cellIs" priority="26" operator="equal" dxfId="10" stopIfTrue="1">
      <formula>0</formula>
    </cfRule>
  </conditionalFormatting>
  <conditionalFormatting sqref="L14:N44">
    <cfRule type="containsText" priority="33" operator="containsText" dxfId="20" stopIfTrue="1" text="NÃO ÚTIL">
      <formula>NOT(ISERROR(SEARCH("NÃO ÚTIL",L14)))</formula>
    </cfRule>
  </conditionalFormatting>
  <conditionalFormatting sqref="L14:N45">
    <cfRule type="cellIs" priority="25" operator="greaterThan" dxfId="10" stopIfTrue="1">
      <formula>0</formula>
    </cfRule>
    <cfRule type="cellIs" priority="27" operator="lessThan" dxfId="11" stopIfTrue="1">
      <formula>0</formula>
    </cfRule>
  </conditionalFormatting>
  <conditionalFormatting sqref="M61">
    <cfRule type="cellIs" priority="12" operator="equal" dxfId="13" stopIfTrue="1">
      <formula>0</formula>
    </cfRule>
    <cfRule type="containsText" priority="13" operator="containsText" dxfId="12" stopIfTrue="1" text="credor">
      <formula>NOT(ISERROR(SEARCH("credor",M61)))</formula>
    </cfRule>
    <cfRule type="containsText" priority="14" operator="containsText" dxfId="11" stopIfTrue="1" text="devedor">
      <formula>NOT(ISERROR(SEARCH("devedor",M61)))</formula>
    </cfRule>
    <cfRule type="cellIs" priority="15" operator="greaterThan" dxfId="10" stopIfTrue="1">
      <formula>0</formula>
    </cfRule>
    <cfRule type="cellIs" priority="16" operator="lessThan" dxfId="11" stopIfTrue="1">
      <formula>0</formula>
    </cfRule>
  </conditionalFormatting>
  <conditionalFormatting sqref="M47:N48">
    <cfRule type="cellIs" priority="17" operator="equal" dxfId="10" stopIfTrue="1">
      <formula>0</formula>
    </cfRule>
  </conditionalFormatting>
  <conditionalFormatting sqref="M47:N52 M53 M55 M57:N58 M59">
    <cfRule type="cellIs" priority="23" operator="lessThan" dxfId="11" stopIfTrue="1">
      <formula>0</formula>
    </cfRule>
    <cfRule type="cellIs" priority="22" operator="greaterThan" dxfId="10" stopIfTrue="1">
      <formula>0</formula>
    </cfRule>
  </conditionalFormatting>
  <conditionalFormatting sqref="M51:N52 M53 M55">
    <cfRule type="cellIs" priority="18" operator="equal" dxfId="14" stopIfTrue="1">
      <formula>0</formula>
    </cfRule>
  </conditionalFormatting>
  <conditionalFormatting sqref="M57:N58 M59">
    <cfRule type="cellIs" priority="19" operator="equal" dxfId="13" stopIfTrue="1">
      <formula>0</formula>
    </cfRule>
    <cfRule type="containsText" priority="20" operator="containsText" dxfId="12" stopIfTrue="1" text="credor">
      <formula>NOT(ISERROR(SEARCH("credor",M57)))</formula>
    </cfRule>
    <cfRule type="containsText" priority="21" operator="containsText" dxfId="11" stopIfTrue="1" text="devedor">
      <formula>NOT(ISERROR(SEARCH("devedor",M57)))</formula>
    </cfRule>
  </conditionalFormatting>
  <conditionalFormatting sqref="N14:N44">
    <cfRule type="cellIs" priority="28" operator="equal" dxfId="10" stopIfTrue="1">
      <formula>0</formula>
    </cfRule>
  </conditionalFormatting>
  <conditionalFormatting sqref="N14:N45">
    <cfRule type="cellIs" priority="32" operator="equal" dxfId="4" stopIfTrue="1">
      <formula>0</formula>
    </cfRule>
  </conditionalFormatting>
  <conditionalFormatting sqref="P14:P44">
    <cfRule type="expression" priority="4" dxfId="0">
      <formula>S14="HOJE"</formula>
    </cfRule>
  </conditionalFormatting>
  <conditionalFormatting sqref="Q14:Q44">
    <cfRule type="expression" priority="5" dxfId="0">
      <formula>S14="HOJE"</formula>
    </cfRule>
    <cfRule type="expression" priority="8" dxfId="6">
      <formula>Q14&lt;0</formula>
    </cfRule>
    <cfRule type="expression" priority="9" dxfId="0">
      <formula>B14=T14</formula>
    </cfRule>
  </conditionalFormatting>
  <conditionalFormatting sqref="R12">
    <cfRule type="expression" priority="1" dxfId="4">
      <formula>$R$12=0</formula>
    </cfRule>
    <cfRule type="expression" priority="2" dxfId="3">
      <formula>$R$12&gt;0</formula>
    </cfRule>
    <cfRule type="expression" priority="3" dxfId="2">
      <formula>$R$12&lt;0</formula>
    </cfRule>
  </conditionalFormatting>
  <conditionalFormatting sqref="R14:R44">
    <cfRule type="expression" priority="6" dxfId="0">
      <formula>S14="HOJE"</formula>
    </cfRule>
  </conditionalFormatting>
  <conditionalFormatting sqref="S14:S44">
    <cfRule type="expression" priority="7" dxfId="0">
      <formula>S14="HOJE"</formula>
    </cfRule>
  </conditionalFormatting>
  <pageMargins left="0.1181102362204725" right="0.1181102362204725" top="0.5905511811023623" bottom="0.3937007874015748" header="0.3149606299212598" footer="0.3149606299212598"/>
  <pageSetup orientation="portrait" paperSize="9" scale="8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2"/>
  <sheetViews>
    <sheetView workbookViewId="0">
      <selection activeCell="H18" sqref="H18"/>
    </sheetView>
  </sheetViews>
  <sheetFormatPr baseColWidth="8" defaultRowHeight="15"/>
  <cols>
    <col width="5.85546875" customWidth="1" min="3" max="4"/>
    <col width="9.5703125" customWidth="1" min="13" max="13"/>
    <col width="10.5703125" customWidth="1" min="14" max="14"/>
    <col width="11.28515625" customWidth="1" min="16" max="16"/>
    <col width="12.140625" customWidth="1" min="19" max="19"/>
    <col hidden="1" width="12.140625" customWidth="1" min="20" max="20"/>
    <col width="12.140625" customWidth="1" min="21" max="21"/>
  </cols>
  <sheetData>
    <row r="1">
      <c r="A1" s="52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4" t="n"/>
    </row>
    <row r="2" ht="15.75" customHeight="1">
      <c r="A2" s="286" t="inlineStr">
        <is>
          <t>GOVERNO DO ESTADO DO ESPÍRITO SANTO</t>
        </is>
      </c>
      <c r="N2" s="287" t="n"/>
    </row>
    <row r="3" ht="19.5" customHeight="1">
      <c r="A3" s="286" t="inlineStr">
        <is>
          <t>SUPERINTENDÊNCIA REGIONAL DE EDUCAÇÃO DE CARAPINA</t>
        </is>
      </c>
      <c r="N3" s="287" t="n"/>
    </row>
    <row r="4" ht="25.5" customHeight="1">
      <c r="A4" s="288" t="inlineStr">
        <is>
          <t>CARTÃO DE PONTO</t>
        </is>
      </c>
      <c r="N4" s="287" t="n"/>
      <c r="Q4" s="289" t="n">
        <v>0</v>
      </c>
      <c r="R4" t="inlineStr">
        <is>
          <t>saldo anterior</t>
        </is>
      </c>
    </row>
    <row r="5" ht="6.75" customHeight="1" thickBot="1">
      <c r="A5" s="365" t="n"/>
      <c r="B5" s="322" t="n"/>
      <c r="C5" s="322" t="n"/>
      <c r="D5" s="322" t="n"/>
      <c r="E5" s="322" t="n"/>
      <c r="F5" s="322" t="n"/>
      <c r="G5" s="322" t="n"/>
      <c r="H5" s="322" t="n"/>
      <c r="I5" s="322" t="n"/>
      <c r="J5" s="322" t="n"/>
      <c r="K5" s="322" t="n"/>
      <c r="L5" s="322" t="n"/>
      <c r="M5" s="322" t="n"/>
      <c r="N5" s="318" t="n"/>
    </row>
    <row r="6" ht="15.75" customHeight="1">
      <c r="A6" s="186" t="inlineStr">
        <is>
          <t xml:space="preserve">NOME: </t>
        </is>
      </c>
      <c r="B6" s="291" t="n"/>
      <c r="C6" s="188">
        <f>JAN!C6:I6</f>
        <v/>
      </c>
      <c r="D6" s="292" t="n"/>
      <c r="E6" s="292" t="n"/>
      <c r="F6" s="292" t="n"/>
      <c r="G6" s="292" t="n"/>
      <c r="H6" s="292" t="n"/>
      <c r="I6" s="293" t="n"/>
      <c r="J6" s="1" t="inlineStr">
        <is>
          <t>MÊS:</t>
        </is>
      </c>
      <c r="K6" s="366" t="n">
        <v>43496</v>
      </c>
      <c r="L6" s="292" t="n"/>
      <c r="M6" s="292" t="n"/>
      <c r="N6" s="367" t="n"/>
    </row>
    <row r="7">
      <c r="A7" s="295" t="inlineStr">
        <is>
          <t>CARGO:</t>
        </is>
      </c>
      <c r="B7" s="296" t="n"/>
      <c r="C7" s="203">
        <f>JAN!C7:I7</f>
        <v/>
      </c>
      <c r="D7" s="297" t="n"/>
      <c r="E7" s="297" t="n"/>
      <c r="F7" s="297" t="n"/>
      <c r="G7" s="297" t="n"/>
      <c r="H7" s="297" t="n"/>
      <c r="I7" s="298" t="n"/>
      <c r="J7" s="299" t="inlineStr">
        <is>
          <t>CH DIÁRIA:</t>
        </is>
      </c>
      <c r="K7" s="296" t="n"/>
      <c r="L7" s="300">
        <f>JAN!L7</f>
        <v/>
      </c>
      <c r="M7" s="301">
        <f>JAN!M7</f>
        <v/>
      </c>
      <c r="N7" s="302">
        <f>JAN!N7</f>
        <v/>
      </c>
    </row>
    <row r="8" ht="16.5" customHeight="1">
      <c r="A8" s="295" t="inlineStr">
        <is>
          <t>FUNÇÃO:</t>
        </is>
      </c>
      <c r="B8" s="296" t="n"/>
      <c r="C8" s="303">
        <f>JAN!C8:I8</f>
        <v/>
      </c>
      <c r="D8" s="297" t="n"/>
      <c r="E8" s="297" t="n"/>
      <c r="F8" s="297" t="n"/>
      <c r="G8" s="297" t="n"/>
      <c r="H8" s="297" t="n"/>
      <c r="I8" s="298" t="n"/>
      <c r="J8" s="4" t="inlineStr">
        <is>
          <t>DIAS ÚTEIS:</t>
        </is>
      </c>
      <c r="K8" s="5" t="n"/>
      <c r="L8" s="304">
        <f>COUNTIF(A14:A41,"U")</f>
        <v/>
      </c>
      <c r="M8" s="305" t="n"/>
      <c r="N8" s="306" t="n"/>
    </row>
    <row r="9" ht="16.5" customHeight="1">
      <c r="A9" s="2" t="inlineStr">
        <is>
          <t>EMPRESA:</t>
        </is>
      </c>
      <c r="B9" s="3" t="n"/>
      <c r="C9" s="129">
        <f>JAN!C9:I9</f>
        <v/>
      </c>
      <c r="D9" s="297" t="n"/>
      <c r="E9" s="297" t="n"/>
      <c r="F9" s="297" t="n"/>
      <c r="G9" s="297" t="n"/>
      <c r="H9" s="297" t="n"/>
      <c r="I9" s="298" t="n"/>
      <c r="J9" s="4" t="inlineStr">
        <is>
          <t>CNPJ:</t>
        </is>
      </c>
      <c r="K9" s="307">
        <f>JAN!K9:L9</f>
        <v/>
      </c>
      <c r="L9" s="296" t="n"/>
      <c r="M9" s="38" t="inlineStr">
        <is>
          <t>EXERCÍCIO:</t>
        </is>
      </c>
      <c r="N9" s="42" t="n">
        <v>2021</v>
      </c>
      <c r="P9" t="inlineStr">
        <is>
          <t>U: DIA ÚTIL</t>
        </is>
      </c>
    </row>
    <row r="10" ht="16.5" customHeight="1">
      <c r="A10" s="2" t="inlineStr">
        <is>
          <t>LOCALIZAÇÃO:</t>
        </is>
      </c>
      <c r="B10" s="3" t="n"/>
      <c r="C10" s="203">
        <f>JAN!C10:I10</f>
        <v/>
      </c>
      <c r="D10" s="297" t="n"/>
      <c r="E10" s="297" t="n"/>
      <c r="F10" s="297" t="n"/>
      <c r="G10" s="297" t="n"/>
      <c r="H10" s="297" t="n"/>
      <c r="I10" s="298" t="n"/>
      <c r="J10" s="308" t="inlineStr">
        <is>
          <t>NÚMERO FUNCIONAL:</t>
        </is>
      </c>
      <c r="K10" s="296" t="n"/>
      <c r="L10" s="43">
        <f>JAN!L10</f>
        <v/>
      </c>
      <c r="M10" s="37" t="inlineStr">
        <is>
          <t>VÍNCULO:</t>
        </is>
      </c>
      <c r="N10" s="44">
        <f>JAN!N10</f>
        <v/>
      </c>
      <c r="P10" t="inlineStr">
        <is>
          <t>F: SÁBADOS; DOMINGOS E FERIADOS</t>
        </is>
      </c>
    </row>
    <row r="11" ht="16.5" customHeight="1" thickBot="1">
      <c r="A11" s="309" t="inlineStr">
        <is>
          <t>REGIME JURÍDICO:</t>
        </is>
      </c>
      <c r="B11" s="310" t="n"/>
      <c r="C11" s="311">
        <f>JAN!C11:E11</f>
        <v/>
      </c>
      <c r="D11" s="312" t="n"/>
      <c r="E11" s="313" t="n"/>
      <c r="F11" s="314" t="inlineStr">
        <is>
          <t>ÓRGÃO DE EXERCÍCIO:</t>
        </is>
      </c>
      <c r="G11" s="315" t="n"/>
      <c r="H11" s="310" t="n"/>
      <c r="I11" s="316" t="inlineStr">
        <is>
          <t>Secretaria de Estado da Educação</t>
        </is>
      </c>
      <c r="J11" s="312" t="n"/>
      <c r="K11" s="312" t="n"/>
      <c r="L11" s="312" t="n"/>
      <c r="M11" s="312" t="n"/>
      <c r="N11" s="317" t="n"/>
    </row>
    <row r="12" ht="39" customHeight="1" thickBot="1">
      <c r="A12" s="169" t="inlineStr">
        <is>
          <t>DIAS DA SEMANA</t>
        </is>
      </c>
      <c r="B12" s="354" t="n"/>
      <c r="C12" s="354" t="n"/>
      <c r="D12" s="354" t="n"/>
      <c r="E12" s="355" t="n"/>
      <c r="F12" s="368" t="inlineStr">
        <is>
          <t>1º TURNO</t>
        </is>
      </c>
      <c r="G12" s="348" t="n"/>
      <c r="H12" s="368" t="inlineStr">
        <is>
          <t>2º TURNO</t>
        </is>
      </c>
      <c r="I12" s="348" t="n"/>
      <c r="J12" s="368" t="inlineStr">
        <is>
          <t>3º TURNO</t>
        </is>
      </c>
      <c r="K12" s="348" t="n"/>
      <c r="L12" s="6" t="inlineStr">
        <is>
          <t xml:space="preserve">HORAS TRABALHADAS </t>
        </is>
      </c>
      <c r="M12" s="6" t="inlineStr">
        <is>
          <t>CH PADRÃO</t>
        </is>
      </c>
      <c r="N12" s="6" t="inlineStr">
        <is>
          <t xml:space="preserve">SALDO </t>
        </is>
      </c>
      <c r="O12" s="47" t="n"/>
      <c r="P12" s="173" t="inlineStr">
        <is>
          <t>saldo acumulado até hoje</t>
        </is>
      </c>
      <c r="Q12" s="47" t="n"/>
      <c r="R12" s="319">
        <f>SUM(U14:U44)+SUM(FEV!U44)+SUM(MAR!U14:U44)+SUM(ABR!U14:U44)+SUM(MAIO!U14:U44)+SUM(JUN!U14:U44)+SUM(JUL!U14:U44)+SUM(AGO!U14:U44)+SUM(SET!U14:U44)+SUM(OUT!U14:U44)+SUM(NOV!U14:U44)+SUM(DEZ!U14:U44)</f>
        <v/>
      </c>
      <c r="S12" s="320" t="n"/>
      <c r="U12" s="66">
        <f>TODAY()</f>
        <v/>
      </c>
      <c r="W12" s="47" t="n"/>
      <c r="X12" s="47" t="n"/>
      <c r="Y12" s="47" t="n"/>
      <c r="Z12" s="47" t="n"/>
      <c r="AA12" s="47" t="n"/>
      <c r="AB12" s="47" t="n"/>
    </row>
    <row r="13" ht="26.25" customHeight="1" thickBot="1">
      <c r="A13" s="321" t="n"/>
      <c r="B13" s="322" t="n"/>
      <c r="C13" s="322" t="n"/>
      <c r="D13" s="322" t="n"/>
      <c r="E13" s="318" t="n"/>
      <c r="F13" s="7" t="inlineStr">
        <is>
          <t>ENTRADA MANHÃ</t>
        </is>
      </c>
      <c r="G13" s="7" t="inlineStr">
        <is>
          <t>SAÍDA MANHÃ</t>
        </is>
      </c>
      <c r="H13" s="7" t="inlineStr">
        <is>
          <t>ENTRADA TARDE</t>
        </is>
      </c>
      <c r="I13" s="7" t="inlineStr">
        <is>
          <t>SAÍDA DA TARDE</t>
        </is>
      </c>
      <c r="J13" s="7" t="inlineStr">
        <is>
          <t>ENTRADA EXTRA</t>
        </is>
      </c>
      <c r="K13" s="7" t="inlineStr">
        <is>
          <t>SAÍDA EXTRA</t>
        </is>
      </c>
      <c r="L13" s="8" t="inlineStr">
        <is>
          <t>POR DIA</t>
        </is>
      </c>
      <c r="M13" s="8" t="inlineStr">
        <is>
          <t>DIÁRIA</t>
        </is>
      </c>
      <c r="N13" s="8" t="inlineStr">
        <is>
          <t>DIÁRIO</t>
        </is>
      </c>
      <c r="O13" s="47" t="n"/>
      <c r="W13" s="47" t="n"/>
      <c r="X13" s="47" t="n"/>
      <c r="Y13" s="47" t="n"/>
      <c r="Z13" s="47" t="n"/>
      <c r="AA13" s="47" t="n"/>
      <c r="AB13" s="47" t="n"/>
    </row>
    <row r="14" ht="16.5" customHeight="1" thickBot="1">
      <c r="A14" s="17">
        <f>IF(OR(C14=2,C14=8),"F","U")</f>
        <v/>
      </c>
      <c r="B14" s="45">
        <f>K6</f>
        <v/>
      </c>
      <c r="C14" s="369">
        <f>WEEKDAY(B14)+1</f>
        <v/>
      </c>
      <c r="D14" s="351" t="n"/>
      <c r="E14" s="370" t="n"/>
      <c r="F14" s="371" t="n">
        <v>0</v>
      </c>
      <c r="G14" s="372" t="n">
        <v>0</v>
      </c>
      <c r="H14" s="372" t="n">
        <v>0</v>
      </c>
      <c r="I14" s="373" t="n">
        <v>0</v>
      </c>
      <c r="J14" s="374" t="n"/>
      <c r="K14" s="328" t="n"/>
      <c r="L14" s="329">
        <f>IF(A14="U",(G14-F14)+(I14-H14)+(K14-J14),"NÃO ÚTIL")</f>
        <v/>
      </c>
      <c r="M14" s="330">
        <f>IF(A14="U",L7,"NÃO ÚTIL")</f>
        <v/>
      </c>
      <c r="N14" s="331">
        <f>IF(A14="U",(L14-M14),"NÃO ÚTIL")</f>
        <v/>
      </c>
      <c r="O14" s="47" t="n"/>
      <c r="P14" s="332">
        <f>IF(N14="não útil",0,N14)</f>
        <v/>
      </c>
      <c r="Q14" s="332">
        <f>P14</f>
        <v/>
      </c>
      <c r="R14" s="332">
        <f>Q14+$Q$4</f>
        <v/>
      </c>
      <c r="S14" s="47">
        <f>IF(B14=T14,"HOJE",".")</f>
        <v/>
      </c>
      <c r="T14" s="62">
        <f>TODAY()</f>
        <v/>
      </c>
      <c r="U14" s="332">
        <f>IF(S14="HOJE",R14,0)</f>
        <v/>
      </c>
      <c r="V14" s="47" t="n"/>
      <c r="W14" s="47" t="n"/>
      <c r="X14" s="47" t="n"/>
      <c r="Y14" s="47" t="n"/>
      <c r="Z14" s="47" t="n"/>
      <c r="AA14" s="47" t="n"/>
      <c r="AB14" s="47" t="n"/>
    </row>
    <row r="15" ht="16.5" customHeight="1" thickBot="1">
      <c r="A15" s="17">
        <f>IF(OR(C15=2,C15=8),"F","U")</f>
        <v/>
      </c>
      <c r="B15" s="46">
        <f>B14+1</f>
        <v/>
      </c>
      <c r="C15" s="375">
        <f>WEEKDAY(B15)+1</f>
        <v/>
      </c>
      <c r="D15" s="305" t="n"/>
      <c r="E15" s="306" t="n"/>
      <c r="F15" s="371" t="n">
        <v>0</v>
      </c>
      <c r="G15" s="372" t="n">
        <v>0</v>
      </c>
      <c r="H15" s="372" t="n">
        <v>0</v>
      </c>
      <c r="I15" s="373" t="n">
        <v>0</v>
      </c>
      <c r="J15" s="376" t="n"/>
      <c r="K15" s="336" t="n"/>
      <c r="L15" s="329">
        <f>IF(A15="U",(G15-F15)+(I15-H15)+(K15-J15),"NÃO ÚTIL")</f>
        <v/>
      </c>
      <c r="M15" s="330">
        <f>IF(A15="U",L7,"NÃO ÚTIL")</f>
        <v/>
      </c>
      <c r="N15" s="331">
        <f>IF(A15="U",(L15-M15),"NÃO ÚTIL")</f>
        <v/>
      </c>
      <c r="O15" s="337" t="n"/>
      <c r="P15" s="332">
        <f>IF(N15="não útil",0,N15)</f>
        <v/>
      </c>
      <c r="Q15" s="337">
        <f>P15+Q14</f>
        <v/>
      </c>
      <c r="R15" s="332">
        <f>Q15+$Q$4</f>
        <v/>
      </c>
      <c r="S15" s="47">
        <f>IF(B15=T15,"HOJE",".")</f>
        <v/>
      </c>
      <c r="T15" s="62">
        <f>TODAY()</f>
        <v/>
      </c>
      <c r="U15" s="332">
        <f>IF(S15="HOJE",R15,0)</f>
        <v/>
      </c>
      <c r="V15" s="47" t="n"/>
      <c r="W15" s="337" t="n"/>
      <c r="X15" s="337" t="n"/>
      <c r="Y15" s="337" t="n"/>
      <c r="Z15" s="337" t="n"/>
      <c r="AA15" s="337" t="n"/>
      <c r="AB15" s="337" t="n"/>
    </row>
    <row r="16" ht="16.5" customHeight="1" thickBot="1">
      <c r="A16" s="17">
        <f>IF(OR(C16=2,C16=8),"F","U")</f>
        <v/>
      </c>
      <c r="B16" s="46">
        <f>B15+1</f>
        <v/>
      </c>
      <c r="C16" s="375">
        <f>WEEKDAY(B16)+1</f>
        <v/>
      </c>
      <c r="D16" s="305" t="n"/>
      <c r="E16" s="306" t="n"/>
      <c r="F16" s="371" t="n">
        <v>0</v>
      </c>
      <c r="G16" s="372" t="n">
        <v>0</v>
      </c>
      <c r="H16" s="372" t="n">
        <v>0</v>
      </c>
      <c r="I16" s="373" t="n">
        <v>0</v>
      </c>
      <c r="J16" s="377" t="n"/>
      <c r="K16" s="339" t="n"/>
      <c r="L16" s="329">
        <f>IF(A16="U",(G16-F16)+(I16-H16)+(K16-J16),"NÃO ÚTIL")</f>
        <v/>
      </c>
      <c r="M16" s="330">
        <f>IF(A16="U",L7,"NÃO ÚTIL")</f>
        <v/>
      </c>
      <c r="N16" s="331">
        <f>IF(A16="U",(L16-M16),"NÃO ÚTIL")</f>
        <v/>
      </c>
      <c r="O16" s="337" t="n"/>
      <c r="P16" s="332">
        <f>IF(N16="não útil",0,N16)</f>
        <v/>
      </c>
      <c r="Q16" s="337">
        <f>P16+Q15</f>
        <v/>
      </c>
      <c r="R16" s="332">
        <f>Q16+$Q$4</f>
        <v/>
      </c>
      <c r="S16" s="47">
        <f>IF(B16=T16,"HOJE",".")</f>
        <v/>
      </c>
      <c r="T16" s="62">
        <f>TODAY()</f>
        <v/>
      </c>
      <c r="U16" s="332">
        <f>IF(S16="HOJE",R16,0)</f>
        <v/>
      </c>
      <c r="V16" s="47" t="n"/>
      <c r="W16" s="337" t="n"/>
      <c r="X16" s="337" t="n"/>
      <c r="Y16" s="337" t="n"/>
      <c r="Z16" s="337" t="n"/>
      <c r="AA16" s="337" t="n"/>
      <c r="AB16" s="337" t="n"/>
    </row>
    <row r="17" ht="16.5" customHeight="1" thickBot="1">
      <c r="A17" s="17">
        <f>IF(OR(C17=2,C17=8),"F","U")</f>
        <v/>
      </c>
      <c r="B17" s="46">
        <f>B16+1</f>
        <v/>
      </c>
      <c r="C17" s="375">
        <f>WEEKDAY(B17)+1</f>
        <v/>
      </c>
      <c r="D17" s="305" t="n"/>
      <c r="E17" s="306" t="n"/>
      <c r="F17" s="371" t="n">
        <v>0</v>
      </c>
      <c r="G17" s="372" t="n">
        <v>0</v>
      </c>
      <c r="H17" s="372" t="n">
        <v>0</v>
      </c>
      <c r="I17" s="373" t="n">
        <v>0</v>
      </c>
      <c r="J17" s="378" t="n"/>
      <c r="K17" s="341" t="n"/>
      <c r="L17" s="329">
        <f>IF(A17="U",(G17-F17)+(I17-H17)+(K17-J17),"NÃO ÚTIL")</f>
        <v/>
      </c>
      <c r="M17" s="330">
        <f>IF(A17="U",L7,"NÃO ÚTIL")</f>
        <v/>
      </c>
      <c r="N17" s="331">
        <f>IF(A17="U",(L17-M17),"NÃO ÚTIL")</f>
        <v/>
      </c>
      <c r="O17" s="47" t="n"/>
      <c r="P17" s="332">
        <f>IF(N17="não útil",0,N17)</f>
        <v/>
      </c>
      <c r="Q17" s="337">
        <f>P17+Q16</f>
        <v/>
      </c>
      <c r="R17" s="332">
        <f>Q17+$Q$4</f>
        <v/>
      </c>
      <c r="S17" s="47">
        <f>IF(B17=T17,"HOJE",".")</f>
        <v/>
      </c>
      <c r="T17" s="62">
        <f>TODAY()</f>
        <v/>
      </c>
      <c r="U17" s="332">
        <f>IF(S17="HOJE",R17,0)</f>
        <v/>
      </c>
      <c r="V17" s="47" t="n"/>
      <c r="W17" s="47" t="n"/>
      <c r="X17" s="47" t="n"/>
      <c r="Y17" s="47" t="n"/>
      <c r="Z17" s="47" t="n"/>
      <c r="AA17" s="47" t="n"/>
      <c r="AB17" s="47" t="n"/>
    </row>
    <row r="18" ht="16.5" customHeight="1" thickBot="1">
      <c r="A18" s="17">
        <f>IF(OR(C18=2,C18=8),"F","U")</f>
        <v/>
      </c>
      <c r="B18" s="46">
        <f>B17+1</f>
        <v/>
      </c>
      <c r="C18" s="375">
        <f>WEEKDAY(B18)+1</f>
        <v/>
      </c>
      <c r="D18" s="305" t="n"/>
      <c r="E18" s="306" t="n"/>
      <c r="F18" s="371" t="n">
        <v>0</v>
      </c>
      <c r="G18" s="372" t="n">
        <v>0</v>
      </c>
      <c r="H18" s="372" t="n">
        <v>0</v>
      </c>
      <c r="I18" s="373" t="n">
        <v>0</v>
      </c>
      <c r="J18" s="377" t="n"/>
      <c r="K18" s="339" t="n"/>
      <c r="L18" s="329">
        <f>IF(A18="U",(G18-F18)+(I18-H18)+(K18-J18),"NÃO ÚTIL")</f>
        <v/>
      </c>
      <c r="M18" s="330">
        <f>IF(A18="U",L7,"NÃO ÚTIL")</f>
        <v/>
      </c>
      <c r="N18" s="331">
        <f>IF(A18="U",(L18-M18),"NÃO ÚTIL")</f>
        <v/>
      </c>
      <c r="O18" s="47" t="n"/>
      <c r="P18" s="332">
        <f>IF(N18="não útil",0,N18)</f>
        <v/>
      </c>
      <c r="Q18" s="337">
        <f>P18+Q17</f>
        <v/>
      </c>
      <c r="R18" s="332">
        <f>Q18+$Q$4</f>
        <v/>
      </c>
      <c r="S18" s="47">
        <f>IF(B18=T18,"HOJE",".")</f>
        <v/>
      </c>
      <c r="T18" s="62">
        <f>TODAY()</f>
        <v/>
      </c>
      <c r="U18" s="332">
        <f>IF(S18="HOJE",R18,0)</f>
        <v/>
      </c>
      <c r="V18" s="47" t="n"/>
      <c r="W18" s="47" t="n"/>
      <c r="X18" s="47" t="n"/>
      <c r="Y18" s="47" t="n"/>
      <c r="Z18" s="47" t="n"/>
      <c r="AA18" s="47" t="n"/>
      <c r="AB18" s="47" t="n"/>
    </row>
    <row r="19" ht="16.5" customHeight="1" thickBot="1">
      <c r="A19" s="17">
        <f>IF(OR(C19=2,C19=8),"F","U")</f>
        <v/>
      </c>
      <c r="B19" s="46">
        <f>B18+1</f>
        <v/>
      </c>
      <c r="C19" s="375">
        <f>WEEKDAY(B19)+1</f>
        <v/>
      </c>
      <c r="D19" s="305" t="n"/>
      <c r="E19" s="306" t="n"/>
      <c r="F19" s="371" t="n">
        <v>0</v>
      </c>
      <c r="G19" s="372" t="n">
        <v>0</v>
      </c>
      <c r="H19" s="372" t="n">
        <v>0</v>
      </c>
      <c r="I19" s="373" t="n">
        <v>0</v>
      </c>
      <c r="J19" s="377" t="n"/>
      <c r="K19" s="339" t="n"/>
      <c r="L19" s="329">
        <f>IF(A19="U",(G19-F19)+(I19-H19)+(K19-J19),"NÃO ÚTIL")</f>
        <v/>
      </c>
      <c r="M19" s="330">
        <f>IF(A19="U",L7,"NÃO ÚTIL")</f>
        <v/>
      </c>
      <c r="N19" s="331">
        <f>IF(A19="U",(L19-M19),"NÃO ÚTIL")</f>
        <v/>
      </c>
      <c r="O19" s="47" t="n"/>
      <c r="P19" s="332">
        <f>IF(N19="não útil",0,N19)</f>
        <v/>
      </c>
      <c r="Q19" s="337">
        <f>P19+Q18</f>
        <v/>
      </c>
      <c r="R19" s="332">
        <f>Q19+$Q$4</f>
        <v/>
      </c>
      <c r="S19" s="47">
        <f>IF(B19=T19,"HOJE",".")</f>
        <v/>
      </c>
      <c r="T19" s="62">
        <f>TODAY()</f>
        <v/>
      </c>
      <c r="U19" s="332">
        <f>IF(S19="HOJE",R19,0)</f>
        <v/>
      </c>
      <c r="V19" s="47" t="n"/>
      <c r="W19" s="47" t="n"/>
      <c r="X19" s="47" t="n"/>
      <c r="Y19" s="47" t="n"/>
      <c r="Z19" s="47" t="n"/>
      <c r="AA19" s="47" t="n"/>
      <c r="AB19" s="47" t="n"/>
    </row>
    <row r="20" ht="16.5" customHeight="1" thickBot="1">
      <c r="A20" s="17">
        <f>IF(OR(C20=2,C20=8),"F","U")</f>
        <v/>
      </c>
      <c r="B20" s="46">
        <f>B19+1</f>
        <v/>
      </c>
      <c r="C20" s="375">
        <f>WEEKDAY(B20)+1</f>
        <v/>
      </c>
      <c r="D20" s="305" t="n"/>
      <c r="E20" s="306" t="n"/>
      <c r="F20" s="371" t="n">
        <v>0</v>
      </c>
      <c r="G20" s="372" t="n">
        <v>0</v>
      </c>
      <c r="H20" s="372" t="n">
        <v>0</v>
      </c>
      <c r="I20" s="373" t="n">
        <v>0</v>
      </c>
      <c r="J20" s="377" t="n"/>
      <c r="K20" s="339" t="n"/>
      <c r="L20" s="329">
        <f>IF(A20="U",(G20-F20)+(I20-H20)+(K20-J20),"NÃO ÚTIL")</f>
        <v/>
      </c>
      <c r="M20" s="330" t="n">
        <v>0.3333333333333333</v>
      </c>
      <c r="N20" s="331">
        <f>IF(A20="U",(L20-M20),"NÃO ÚTIL")</f>
        <v/>
      </c>
      <c r="O20" s="47" t="n"/>
      <c r="P20" s="332">
        <f>IF(N20="não útil",0,N20)</f>
        <v/>
      </c>
      <c r="Q20" s="337">
        <f>P20+Q19</f>
        <v/>
      </c>
      <c r="R20" s="332">
        <f>Q20+$Q$4</f>
        <v/>
      </c>
      <c r="S20" s="47">
        <f>IF(B20=T20,"HOJE",".")</f>
        <v/>
      </c>
      <c r="T20" s="62">
        <f>TODAY()</f>
        <v/>
      </c>
      <c r="U20" s="332">
        <f>IF(S20="HOJE",R20,0)</f>
        <v/>
      </c>
      <c r="V20" s="47" t="n"/>
      <c r="W20" s="47" t="n"/>
      <c r="X20" s="47" t="n"/>
      <c r="Y20" s="47" t="n"/>
      <c r="Z20" s="47" t="n"/>
      <c r="AA20" s="47" t="n"/>
      <c r="AB20" s="47" t="n"/>
    </row>
    <row r="21" ht="16.5" customHeight="1" thickBot="1">
      <c r="A21" s="17">
        <f>IF(OR(C21=2,C21=8),"F","U")</f>
        <v/>
      </c>
      <c r="B21" s="46">
        <f>B20+1</f>
        <v/>
      </c>
      <c r="C21" s="375">
        <f>WEEKDAY(B21)+1</f>
        <v/>
      </c>
      <c r="D21" s="305" t="n"/>
      <c r="E21" s="306" t="n"/>
      <c r="F21" s="371" t="n">
        <v>0</v>
      </c>
      <c r="G21" s="372" t="n">
        <v>0</v>
      </c>
      <c r="H21" s="372" t="n">
        <v>0</v>
      </c>
      <c r="I21" s="373" t="n">
        <v>0</v>
      </c>
      <c r="J21" s="377" t="n"/>
      <c r="K21" s="339" t="n"/>
      <c r="L21" s="329">
        <f>IF(A21="U",(G21-F21)+(I21-H21)+(K21-J21),"NÃO ÚTIL")</f>
        <v/>
      </c>
      <c r="M21" s="330">
        <f>IF(A21="U",L7,"NÃO ÚTIL")</f>
        <v/>
      </c>
      <c r="N21" s="331">
        <f>IF(A21="U",(L21-M21),"NÃO ÚTIL")</f>
        <v/>
      </c>
      <c r="O21" s="47" t="n"/>
      <c r="P21" s="332">
        <f>IF(N21="não útil",0,N21)</f>
        <v/>
      </c>
      <c r="Q21" s="337">
        <f>P21+Q20</f>
        <v/>
      </c>
      <c r="R21" s="332">
        <f>Q21+$Q$4</f>
        <v/>
      </c>
      <c r="S21" s="47">
        <f>IF(B21=T21,"HOJE",".")</f>
        <v/>
      </c>
      <c r="T21" s="62">
        <f>TODAY()</f>
        <v/>
      </c>
      <c r="U21" s="332">
        <f>IF(S21="HOJE",R21,0)</f>
        <v/>
      </c>
      <c r="V21" s="47" t="n"/>
      <c r="W21" s="47" t="n"/>
      <c r="X21" s="47" t="n"/>
      <c r="Y21" s="47" t="n"/>
      <c r="Z21" s="47" t="n"/>
      <c r="AA21" s="47" t="n"/>
      <c r="AB21" s="47" t="n"/>
    </row>
    <row r="22" ht="16.5" customHeight="1" thickBot="1">
      <c r="A22" s="17">
        <f>IF(OR(C22=2,C22=8),"F","U")</f>
        <v/>
      </c>
      <c r="B22" s="46">
        <f>B21+1</f>
        <v/>
      </c>
      <c r="C22" s="375">
        <f>WEEKDAY(B22)+1</f>
        <v/>
      </c>
      <c r="D22" s="305" t="n"/>
      <c r="E22" s="306" t="n"/>
      <c r="F22" s="371" t="n">
        <v>0</v>
      </c>
      <c r="G22" s="372" t="n">
        <v>0</v>
      </c>
      <c r="H22" s="372" t="n">
        <v>0</v>
      </c>
      <c r="I22" s="373" t="n">
        <v>0</v>
      </c>
      <c r="J22" s="377" t="n"/>
      <c r="K22" s="339" t="n"/>
      <c r="L22" s="329">
        <f>IF(A22="U",(G22-F22)+(I22-H22)+(K22-J22),"NÃO ÚTIL")</f>
        <v/>
      </c>
      <c r="M22" s="330">
        <f>IF(A22="U",L7,"NÃO ÚTIL")</f>
        <v/>
      </c>
      <c r="N22" s="331">
        <f>IF(A22="U",(L22-M22),"NÃO ÚTIL")</f>
        <v/>
      </c>
      <c r="O22" s="47" t="n"/>
      <c r="P22" s="332">
        <f>IF(N22="não útil",0,N22)</f>
        <v/>
      </c>
      <c r="Q22" s="337">
        <f>P22+Q21</f>
        <v/>
      </c>
      <c r="R22" s="332">
        <f>Q22+$Q$4</f>
        <v/>
      </c>
      <c r="S22" s="47">
        <f>IF(B22=T22,"HOJE",".")</f>
        <v/>
      </c>
      <c r="T22" s="62">
        <f>TODAY()</f>
        <v/>
      </c>
      <c r="U22" s="332">
        <f>IF(S22="HOJE",R22,0)</f>
        <v/>
      </c>
      <c r="V22" s="47" t="n"/>
      <c r="W22" s="47" t="n"/>
      <c r="X22" s="47" t="n"/>
      <c r="Y22" s="47" t="n"/>
      <c r="Z22" s="47" t="n"/>
      <c r="AA22" s="47" t="n"/>
      <c r="AB22" s="47" t="n"/>
    </row>
    <row r="23" ht="16.5" customHeight="1" thickBot="1">
      <c r="A23" s="17">
        <f>IF(OR(C23=2,C23=8),"F","U")</f>
        <v/>
      </c>
      <c r="B23" s="46">
        <f>B22+1</f>
        <v/>
      </c>
      <c r="C23" s="375">
        <f>WEEKDAY(B23)+1</f>
        <v/>
      </c>
      <c r="D23" s="305" t="n"/>
      <c r="E23" s="306" t="n"/>
      <c r="F23" s="371" t="n">
        <v>0</v>
      </c>
      <c r="G23" s="372" t="n">
        <v>0</v>
      </c>
      <c r="H23" s="372" t="n">
        <v>0</v>
      </c>
      <c r="I23" s="373" t="n">
        <v>0</v>
      </c>
      <c r="J23" s="377" t="n"/>
      <c r="K23" s="339" t="n"/>
      <c r="L23" s="329">
        <f>IF(A23="U",(G23-F23)+(I23-H23)+(K23-J23),"NÃO ÚTIL")</f>
        <v/>
      </c>
      <c r="M23" s="330">
        <f>IF(A23="U",L7,"NÃO ÚTIL")</f>
        <v/>
      </c>
      <c r="N23" s="331">
        <f>IF(A23="U",(L23-M23),"NÃO ÚTIL")</f>
        <v/>
      </c>
      <c r="O23" s="47" t="n"/>
      <c r="P23" s="332">
        <f>IF(N23="não útil",0,N23)</f>
        <v/>
      </c>
      <c r="Q23" s="337">
        <f>P23+Q22</f>
        <v/>
      </c>
      <c r="R23" s="332">
        <f>Q23+$Q$4</f>
        <v/>
      </c>
      <c r="S23" s="47">
        <f>IF(B23=T23,"HOJE",".")</f>
        <v/>
      </c>
      <c r="T23" s="62">
        <f>TODAY()</f>
        <v/>
      </c>
      <c r="U23" s="332">
        <f>IF(S23="HOJE",R23,0)</f>
        <v/>
      </c>
      <c r="V23" s="47" t="n"/>
      <c r="W23" s="47" t="n"/>
      <c r="X23" s="47" t="n"/>
      <c r="Y23" s="47" t="n"/>
      <c r="Z23" s="47" t="n"/>
      <c r="AA23" s="47" t="n"/>
      <c r="AB23" s="47" t="n"/>
    </row>
    <row r="24" ht="16.5" customHeight="1" thickBot="1">
      <c r="A24" s="17">
        <f>IF(OR(C24=2,C24=8),"F","U")</f>
        <v/>
      </c>
      <c r="B24" s="46">
        <f>B23+1</f>
        <v/>
      </c>
      <c r="C24" s="375">
        <f>WEEKDAY(B24)+1</f>
        <v/>
      </c>
      <c r="D24" s="305" t="n"/>
      <c r="E24" s="306" t="n"/>
      <c r="F24" s="371" t="n">
        <v>0</v>
      </c>
      <c r="G24" s="379" t="n">
        <v>0</v>
      </c>
      <c r="H24" s="379" t="n">
        <v>0</v>
      </c>
      <c r="I24" s="380" t="n">
        <v>0</v>
      </c>
      <c r="J24" s="377" t="n"/>
      <c r="K24" s="339" t="n"/>
      <c r="L24" s="329">
        <f>IF(A24="U",(G24-F24)+(I24-H24)+(K24-J24),"NÃO ÚTIL")</f>
        <v/>
      </c>
      <c r="M24" s="330">
        <f>IF(A24="U",L7,"NÃO ÚTIL")</f>
        <v/>
      </c>
      <c r="N24" s="331">
        <f>IF(A24="U",(L24-M24),"NÃO ÚTIL")</f>
        <v/>
      </c>
      <c r="O24" s="47" t="n"/>
      <c r="P24" s="332">
        <f>IF(N24="não útil",0,N24)</f>
        <v/>
      </c>
      <c r="Q24" s="337">
        <f>P24+Q23</f>
        <v/>
      </c>
      <c r="R24" s="332">
        <f>Q24+$Q$4</f>
        <v/>
      </c>
      <c r="S24" s="47">
        <f>IF(B24=T24,"HOJE",".")</f>
        <v/>
      </c>
      <c r="T24" s="62">
        <f>TODAY()</f>
        <v/>
      </c>
      <c r="U24" s="332">
        <f>IF(S24="HOJE",R24,0)</f>
        <v/>
      </c>
      <c r="V24" s="47" t="n"/>
      <c r="W24" s="47" t="n"/>
      <c r="X24" s="47" t="n"/>
      <c r="Y24" s="47" t="n"/>
      <c r="Z24" s="47" t="n"/>
      <c r="AA24" s="47" t="n"/>
      <c r="AB24" s="47" t="n"/>
    </row>
    <row r="25" ht="16.5" customHeight="1" thickBot="1">
      <c r="A25" s="17">
        <f>IF(OR(C25=2,C25=8),"F","U")</f>
        <v/>
      </c>
      <c r="B25" s="46">
        <f>B24+1</f>
        <v/>
      </c>
      <c r="C25" s="375">
        <f>WEEKDAY(B25)+1</f>
        <v/>
      </c>
      <c r="D25" s="305" t="n"/>
      <c r="E25" s="306" t="n"/>
      <c r="F25" s="371" t="n">
        <v>0</v>
      </c>
      <c r="G25" s="372" t="n">
        <v>0</v>
      </c>
      <c r="H25" s="372" t="n">
        <v>0</v>
      </c>
      <c r="I25" s="373" t="n">
        <v>0</v>
      </c>
      <c r="J25" s="376" t="n"/>
      <c r="K25" s="336" t="n"/>
      <c r="L25" s="329">
        <f>IF(A25="U",(G25-F25)+(I25-H25)+(K25-J25),"NÃO ÚTIL")</f>
        <v/>
      </c>
      <c r="M25" s="330">
        <f>IF(A25="U",L7,"NÃO ÚTIL")</f>
        <v/>
      </c>
      <c r="N25" s="331">
        <f>IF(A25="U",(L25-M25),"NÃO ÚTIL")</f>
        <v/>
      </c>
      <c r="O25" s="47" t="n"/>
      <c r="P25" s="332">
        <f>IF(N25="não útil",0,N25)</f>
        <v/>
      </c>
      <c r="Q25" s="337">
        <f>P25+Q24</f>
        <v/>
      </c>
      <c r="R25" s="332">
        <f>Q25+$Q$4</f>
        <v/>
      </c>
      <c r="S25" s="47">
        <f>IF(B25=T25,"HOJE",".")</f>
        <v/>
      </c>
      <c r="T25" s="62">
        <f>TODAY()</f>
        <v/>
      </c>
      <c r="U25" s="332">
        <f>IF(S25="HOJE",R25,0)</f>
        <v/>
      </c>
      <c r="V25" s="47" t="n"/>
      <c r="W25" s="47" t="n"/>
      <c r="X25" s="47" t="n"/>
      <c r="Y25" s="47" t="n"/>
      <c r="Z25" s="47" t="n"/>
      <c r="AA25" s="47" t="n"/>
      <c r="AB25" s="47" t="n"/>
    </row>
    <row r="26" ht="16.5" customHeight="1" thickBot="1">
      <c r="A26" s="17">
        <f>IF(OR(C26=2,C26=8),"F","U")</f>
        <v/>
      </c>
      <c r="B26" s="46">
        <f>B25+1</f>
        <v/>
      </c>
      <c r="C26" s="375">
        <f>WEEKDAY(B26)+1</f>
        <v/>
      </c>
      <c r="D26" s="305" t="n"/>
      <c r="E26" s="306" t="n"/>
      <c r="F26" s="371" t="n">
        <v>0</v>
      </c>
      <c r="G26" s="372" t="n">
        <v>0</v>
      </c>
      <c r="H26" s="372" t="n">
        <v>0</v>
      </c>
      <c r="I26" s="373" t="n">
        <v>0</v>
      </c>
      <c r="J26" s="378" t="n"/>
      <c r="K26" s="341" t="n"/>
      <c r="L26" s="329">
        <f>IF(A26="U",(G26-F26)+(I26-H26)+(K26-J26),"NÃO ÚTIL")</f>
        <v/>
      </c>
      <c r="M26" s="330">
        <f>IF(A26="U",L7,"NÃO ÚTIL")</f>
        <v/>
      </c>
      <c r="N26" s="331">
        <f>IF(A26="U",(L26-M26),"NÃO ÚTIL")</f>
        <v/>
      </c>
      <c r="O26" s="47" t="n"/>
      <c r="P26" s="332">
        <f>IF(N26="não útil",0,N26)</f>
        <v/>
      </c>
      <c r="Q26" s="337">
        <f>P26+Q25</f>
        <v/>
      </c>
      <c r="R26" s="332">
        <f>Q26+$Q$4</f>
        <v/>
      </c>
      <c r="S26" s="47">
        <f>IF(B26=T26,"HOJE",".")</f>
        <v/>
      </c>
      <c r="T26" s="62">
        <f>TODAY()</f>
        <v/>
      </c>
      <c r="U26" s="332">
        <f>IF(S26="HOJE",R26,0)</f>
        <v/>
      </c>
      <c r="V26" s="47" t="n"/>
      <c r="W26" s="47" t="n"/>
      <c r="X26" s="47" t="n"/>
      <c r="Y26" s="47" t="n"/>
      <c r="Z26" s="47" t="n"/>
      <c r="AA26" s="47" t="n"/>
      <c r="AB26" s="47" t="n"/>
    </row>
    <row r="27" ht="16.5" customHeight="1" thickBot="1">
      <c r="A27" s="17">
        <f>IF(OR(C27=2,C27=8),"F","U")</f>
        <v/>
      </c>
      <c r="B27" s="46">
        <f>B26+1</f>
        <v/>
      </c>
      <c r="C27" s="375">
        <f>WEEKDAY(B27)+1</f>
        <v/>
      </c>
      <c r="D27" s="305" t="n"/>
      <c r="E27" s="306" t="n"/>
      <c r="F27" s="371" t="n">
        <v>0</v>
      </c>
      <c r="G27" s="372" t="n">
        <v>0</v>
      </c>
      <c r="H27" s="372" t="n">
        <v>0</v>
      </c>
      <c r="I27" s="373" t="n">
        <v>0</v>
      </c>
      <c r="J27" s="377" t="n"/>
      <c r="K27" s="339" t="n"/>
      <c r="L27" s="329">
        <f>IF(A27="U",(G27-F27)+(I27-H27)+(K27-J27),"NÃO ÚTIL")</f>
        <v/>
      </c>
      <c r="M27" s="330" t="n">
        <v>0.3333333333333333</v>
      </c>
      <c r="N27" s="331">
        <f>IF(A27="U",(L27-M27),"NÃO ÚTIL")</f>
        <v/>
      </c>
      <c r="O27" s="47" t="n"/>
      <c r="P27" s="332">
        <f>IF(N27="não útil",0,N27)</f>
        <v/>
      </c>
      <c r="Q27" s="337">
        <f>P27+Q26</f>
        <v/>
      </c>
      <c r="R27" s="332">
        <f>Q27+$Q$4</f>
        <v/>
      </c>
      <c r="S27" s="47">
        <f>IF(B27=T27,"HOJE",".")</f>
        <v/>
      </c>
      <c r="T27" s="62">
        <f>TODAY()</f>
        <v/>
      </c>
      <c r="U27" s="332">
        <f>IF(S27="HOJE",R27,0)</f>
        <v/>
      </c>
      <c r="V27" s="47" t="n"/>
      <c r="W27" s="47" t="n"/>
      <c r="X27" s="47" t="n"/>
      <c r="Y27" s="47" t="n"/>
      <c r="Z27" s="47" t="n"/>
      <c r="AA27" s="47" t="n"/>
      <c r="AB27" s="47" t="n"/>
    </row>
    <row r="28" ht="16.5" customHeight="1" thickBot="1">
      <c r="A28" s="17">
        <f>IF(OR(C28=2,C28=8),"F","U")</f>
        <v/>
      </c>
      <c r="B28" s="46">
        <f>B27+1</f>
        <v/>
      </c>
      <c r="C28" s="375">
        <f>WEEKDAY(B28)+1</f>
        <v/>
      </c>
      <c r="D28" s="305" t="n"/>
      <c r="E28" s="306" t="n"/>
      <c r="F28" s="371" t="n">
        <v>0</v>
      </c>
      <c r="G28" s="372" t="n">
        <v>0</v>
      </c>
      <c r="H28" s="372" t="n">
        <v>0</v>
      </c>
      <c r="I28" s="373" t="n">
        <v>0</v>
      </c>
      <c r="J28" s="376" t="n"/>
      <c r="K28" s="336" t="n"/>
      <c r="L28" s="329">
        <f>IF(A28="U",(G28-F28)+(I28-H28)+(K28-J28),"NÃO ÚTIL")</f>
        <v/>
      </c>
      <c r="M28" s="330">
        <f>IF(A28="U",L7,"NÃO ÚTIL")</f>
        <v/>
      </c>
      <c r="N28" s="331">
        <f>IF(A28="U",(L28-M28),"NÃO ÚTIL")</f>
        <v/>
      </c>
      <c r="O28" s="47" t="n"/>
      <c r="P28" s="332">
        <f>IF(N28="não útil",0,N28)</f>
        <v/>
      </c>
      <c r="Q28" s="337">
        <f>P28+Q27</f>
        <v/>
      </c>
      <c r="R28" s="332">
        <f>Q28+$Q$4</f>
        <v/>
      </c>
      <c r="S28" s="47">
        <f>IF(B28=T28,"HOJE",".")</f>
        <v/>
      </c>
      <c r="T28" s="62">
        <f>TODAY()</f>
        <v/>
      </c>
      <c r="U28" s="332">
        <f>IF(S28="HOJE",R28,0)</f>
        <v/>
      </c>
      <c r="V28" s="47" t="n"/>
      <c r="W28" s="47" t="n"/>
      <c r="X28" s="47" t="n"/>
      <c r="Y28" s="47" t="n"/>
      <c r="Z28" s="47" t="n"/>
      <c r="AA28" s="47" t="n"/>
      <c r="AB28" s="47" t="n"/>
    </row>
    <row r="29" ht="16.5" customHeight="1" thickBot="1">
      <c r="A29" s="17">
        <f>IF(OR(C29=2,C29=8),"F","U")</f>
        <v/>
      </c>
      <c r="B29" s="46">
        <f>B28+1</f>
        <v/>
      </c>
      <c r="C29" s="375">
        <f>WEEKDAY(B29)+1</f>
        <v/>
      </c>
      <c r="D29" s="305" t="n"/>
      <c r="E29" s="306" t="n"/>
      <c r="F29" s="371" t="n">
        <v>0</v>
      </c>
      <c r="G29" s="372" t="n">
        <v>0</v>
      </c>
      <c r="H29" s="372" t="n">
        <v>0</v>
      </c>
      <c r="I29" s="373" t="n">
        <v>0</v>
      </c>
      <c r="J29" s="378" t="n"/>
      <c r="K29" s="341" t="n"/>
      <c r="L29" s="329">
        <f>IF(A29="U",(G29-F29)+(I29-H29)+(K29-J29),"NÃO ÚTIL")</f>
        <v/>
      </c>
      <c r="M29" s="330">
        <f>IF(A29="U",L7,"NÃO ÚTIL")</f>
        <v/>
      </c>
      <c r="N29" s="331">
        <f>IF(A29="U",(L29-M29),"NÃO ÚTIL")</f>
        <v/>
      </c>
      <c r="O29" s="47" t="n"/>
      <c r="P29" s="332">
        <f>IF(N29="não útil",0,N29)</f>
        <v/>
      </c>
      <c r="Q29" s="337">
        <f>P29+Q28</f>
        <v/>
      </c>
      <c r="R29" s="332">
        <f>Q29+$Q$4</f>
        <v/>
      </c>
      <c r="S29" s="47">
        <f>IF(B29=T29,"HOJE",".")</f>
        <v/>
      </c>
      <c r="T29" s="62">
        <f>TODAY()</f>
        <v/>
      </c>
      <c r="U29" s="332">
        <f>IF(S29="HOJE",R29,0)</f>
        <v/>
      </c>
      <c r="V29" s="47" t="n"/>
      <c r="W29" s="47" t="n"/>
      <c r="X29" s="47" t="n"/>
      <c r="Y29" s="47" t="n"/>
      <c r="Z29" s="47" t="n"/>
      <c r="AA29" s="47" t="n"/>
      <c r="AB29" s="47" t="n"/>
    </row>
    <row r="30" ht="16.5" customHeight="1" thickBot="1">
      <c r="A30" s="17">
        <f>IF(OR(C30=2,C30=8),"F","U")</f>
        <v/>
      </c>
      <c r="B30" s="46">
        <f>B29+1</f>
        <v/>
      </c>
      <c r="C30" s="375">
        <f>WEEKDAY(B30)+1</f>
        <v/>
      </c>
      <c r="D30" s="305" t="n"/>
      <c r="E30" s="306" t="n"/>
      <c r="F30" s="371" t="n">
        <v>0</v>
      </c>
      <c r="G30" s="372" t="n">
        <v>0</v>
      </c>
      <c r="H30" s="372" t="n">
        <v>0</v>
      </c>
      <c r="I30" s="373" t="n">
        <v>0</v>
      </c>
      <c r="J30" s="377" t="n"/>
      <c r="K30" s="339" t="n"/>
      <c r="L30" s="329">
        <f>IF(A30="U",(G30-F30)+(I30-H30)+(K30-J30),"NÃO ÚTIL")</f>
        <v/>
      </c>
      <c r="M30" s="330">
        <f>IF(A30="U",L7,"NÃO ÚTIL")</f>
        <v/>
      </c>
      <c r="N30" s="331">
        <f>IF(A30="U",(L30-M30),"NÃO ÚTIL")</f>
        <v/>
      </c>
      <c r="O30" s="47" t="n"/>
      <c r="P30" s="332">
        <f>IF(N30="não útil",0,N30)</f>
        <v/>
      </c>
      <c r="Q30" s="337">
        <f>P30+Q29</f>
        <v/>
      </c>
      <c r="R30" s="332">
        <f>Q30+$Q$4</f>
        <v/>
      </c>
      <c r="S30" s="47">
        <f>IF(B30=T30,"HOJE",".")</f>
        <v/>
      </c>
      <c r="T30" s="62">
        <f>TODAY()</f>
        <v/>
      </c>
      <c r="U30" s="332">
        <f>IF(S30="HOJE",R30,0)</f>
        <v/>
      </c>
      <c r="V30" s="47" t="n"/>
      <c r="W30" s="47" t="n"/>
      <c r="X30" s="47" t="n"/>
      <c r="Y30" s="47" t="n"/>
      <c r="Z30" s="47" t="n"/>
      <c r="AA30" s="47" t="n"/>
      <c r="AB30" s="47" t="n"/>
    </row>
    <row r="31" ht="16.5" customHeight="1" thickBot="1">
      <c r="A31" s="17">
        <f>IF(OR(C31=2,C31=8),"F","U")</f>
        <v/>
      </c>
      <c r="B31" s="46">
        <f>B30+1</f>
        <v/>
      </c>
      <c r="C31" s="375">
        <f>WEEKDAY(B31)+1</f>
        <v/>
      </c>
      <c r="D31" s="305" t="n"/>
      <c r="E31" s="306" t="n"/>
      <c r="F31" s="371" t="n">
        <v>0</v>
      </c>
      <c r="G31" s="372" t="n">
        <v>0</v>
      </c>
      <c r="H31" s="372" t="n">
        <v>0</v>
      </c>
      <c r="I31" s="373" t="n">
        <v>0</v>
      </c>
      <c r="J31" s="378" t="n"/>
      <c r="K31" s="341" t="n"/>
      <c r="L31" s="329">
        <f>IF(A31="U",(G31-F31)+(I31-H31)+(K31-J31),"NÃO ÚTIL")</f>
        <v/>
      </c>
      <c r="M31" s="330">
        <f>IF(A31="U",L7,"NÃO ÚTIL")</f>
        <v/>
      </c>
      <c r="N31" s="331">
        <f>IF(A31="U",(L31-M31),"NÃO ÚTIL")</f>
        <v/>
      </c>
      <c r="O31" s="47" t="n"/>
      <c r="P31" s="332">
        <f>IF(N31="não útil",0,N31)</f>
        <v/>
      </c>
      <c r="Q31" s="337">
        <f>P31+Q30</f>
        <v/>
      </c>
      <c r="R31" s="332">
        <f>Q31+$Q$4</f>
        <v/>
      </c>
      <c r="S31" s="47">
        <f>IF(B31=T31,"HOJE",".")</f>
        <v/>
      </c>
      <c r="T31" s="62">
        <f>TODAY()</f>
        <v/>
      </c>
      <c r="U31" s="332">
        <f>IF(S31="HOJE",R31,0)</f>
        <v/>
      </c>
      <c r="V31" s="47" t="n"/>
      <c r="W31" s="47" t="n"/>
      <c r="X31" s="47" t="n"/>
      <c r="Y31" s="47" t="n"/>
      <c r="Z31" s="47" t="n"/>
      <c r="AA31" s="47" t="n"/>
      <c r="AB31" s="47" t="n"/>
    </row>
    <row r="32" ht="16.5" customHeight="1" thickBot="1">
      <c r="A32" s="17">
        <f>IF(OR(C32=2,C32=8),"F","U")</f>
        <v/>
      </c>
      <c r="B32" s="46">
        <f>B31+1</f>
        <v/>
      </c>
      <c r="C32" s="375">
        <f>WEEKDAY(B32)+1</f>
        <v/>
      </c>
      <c r="D32" s="305" t="n"/>
      <c r="E32" s="306" t="n"/>
      <c r="F32" s="371" t="n">
        <v>0</v>
      </c>
      <c r="G32" s="372" t="n">
        <v>0</v>
      </c>
      <c r="H32" s="372" t="n">
        <v>0</v>
      </c>
      <c r="I32" s="373" t="n">
        <v>0</v>
      </c>
      <c r="J32" s="338" t="n"/>
      <c r="K32" s="339" t="n"/>
      <c r="L32" s="329">
        <f>IF(A32="U",(G32-F32)+(I32-H32)+(K32-J32),"NÃO ÚTIL")</f>
        <v/>
      </c>
      <c r="M32" s="330">
        <f>IF(A32="U",L7,"NÃO ÚTIL")</f>
        <v/>
      </c>
      <c r="N32" s="331">
        <f>IF(A32="U",(L32-M32),"NÃO ÚTIL")</f>
        <v/>
      </c>
      <c r="O32" s="47" t="n"/>
      <c r="P32" s="332">
        <f>IF(N32="não útil",0,N32)</f>
        <v/>
      </c>
      <c r="Q32" s="337">
        <f>P32+Q31</f>
        <v/>
      </c>
      <c r="R32" s="332">
        <f>Q32+$Q$4</f>
        <v/>
      </c>
      <c r="S32" s="47">
        <f>IF(B32=T32,"HOJE",".")</f>
        <v/>
      </c>
      <c r="T32" s="62">
        <f>TODAY()</f>
        <v/>
      </c>
      <c r="U32" s="332">
        <f>IF(S32="HOJE",R32,0)</f>
        <v/>
      </c>
      <c r="V32" s="47" t="n"/>
      <c r="W32" s="47" t="n"/>
      <c r="X32" s="47" t="n"/>
      <c r="Y32" s="47" t="n"/>
      <c r="Z32" s="47" t="n"/>
      <c r="AA32" s="47" t="n"/>
      <c r="AB32" s="47" t="n"/>
    </row>
    <row r="33" ht="16.5" customHeight="1" thickBot="1">
      <c r="A33" s="17">
        <f>IF(OR(C33=2,C33=8),"F","U")</f>
        <v/>
      </c>
      <c r="B33" s="46">
        <f>B32+1</f>
        <v/>
      </c>
      <c r="C33" s="375">
        <f>WEEKDAY(B33)+1</f>
        <v/>
      </c>
      <c r="D33" s="305" t="n"/>
      <c r="E33" s="306" t="n"/>
      <c r="F33" s="371" t="n">
        <v>0</v>
      </c>
      <c r="G33" s="372" t="n">
        <v>0</v>
      </c>
      <c r="H33" s="372" t="n">
        <v>0</v>
      </c>
      <c r="I33" s="373" t="n">
        <v>0</v>
      </c>
      <c r="J33" s="340" t="n"/>
      <c r="K33" s="341" t="n"/>
      <c r="L33" s="329">
        <f>IF(A33="U",(G33-F33)+(I33-H33)+(K33-J33),"NÃO ÚTIL")</f>
        <v/>
      </c>
      <c r="M33" s="330">
        <f>IF(A33="U",L7,"NÃO ÚTIL")</f>
        <v/>
      </c>
      <c r="N33" s="331">
        <f>IF(A33="U",(L33-M33),"NÃO ÚTIL")</f>
        <v/>
      </c>
      <c r="O33" s="47" t="n"/>
      <c r="P33" s="332">
        <f>IF(N33="não útil",0,N33)</f>
        <v/>
      </c>
      <c r="Q33" s="337">
        <f>P33+Q32</f>
        <v/>
      </c>
      <c r="R33" s="332">
        <f>Q33+$Q$4</f>
        <v/>
      </c>
      <c r="S33" s="47">
        <f>IF(B33=T33,"HOJE",".")</f>
        <v/>
      </c>
      <c r="T33" s="62">
        <f>TODAY()</f>
        <v/>
      </c>
      <c r="U33" s="332">
        <f>IF(S33="HOJE",R33,0)</f>
        <v/>
      </c>
      <c r="V33" s="47" t="n"/>
      <c r="W33" s="47" t="n"/>
      <c r="X33" s="47" t="n"/>
      <c r="Y33" s="47" t="n"/>
      <c r="Z33" s="47" t="n"/>
      <c r="AA33" s="47" t="n"/>
      <c r="AB33" s="47" t="n"/>
    </row>
    <row r="34" ht="16.5" customHeight="1" thickBot="1">
      <c r="A34" s="17">
        <f>IF(OR(C34=2,C34=8),"F","U")</f>
        <v/>
      </c>
      <c r="B34" s="46">
        <f>B33+1</f>
        <v/>
      </c>
      <c r="C34" s="375">
        <f>WEEKDAY(B34)+1</f>
        <v/>
      </c>
      <c r="D34" s="305" t="n"/>
      <c r="E34" s="306" t="n"/>
      <c r="F34" s="371" t="n">
        <v>0</v>
      </c>
      <c r="G34" s="372" t="n">
        <v>0</v>
      </c>
      <c r="H34" s="372" t="n">
        <v>0</v>
      </c>
      <c r="I34" s="373" t="n">
        <v>0</v>
      </c>
      <c r="J34" s="338" t="n"/>
      <c r="K34" s="345" t="n"/>
      <c r="L34" s="329">
        <f>IF(A34="U",(G34-F34)+(I34-H34)+(K34-J34),"NÃO ÚTIL")</f>
        <v/>
      </c>
      <c r="M34" s="330">
        <f>IF(A34="U",L7,"NÃO ÚTIL")</f>
        <v/>
      </c>
      <c r="N34" s="331">
        <f>IF(A34="U",(L34-M34),"NÃO ÚTIL")</f>
        <v/>
      </c>
      <c r="O34" s="47" t="n"/>
      <c r="P34" s="332">
        <f>IF(N34="não útil",0,N34)</f>
        <v/>
      </c>
      <c r="Q34" s="337">
        <f>P34+Q33</f>
        <v/>
      </c>
      <c r="R34" s="332">
        <f>Q34+$Q$4</f>
        <v/>
      </c>
      <c r="S34" s="47">
        <f>IF(B34=T34,"HOJE",".")</f>
        <v/>
      </c>
      <c r="T34" s="62">
        <f>TODAY()</f>
        <v/>
      </c>
      <c r="U34" s="332">
        <f>IF(S34="HOJE",R34,0)</f>
        <v/>
      </c>
      <c r="V34" s="47" t="n"/>
      <c r="W34" s="47" t="n"/>
      <c r="X34" s="47" t="n"/>
      <c r="Y34" s="47" t="n"/>
      <c r="Z34" s="47" t="n"/>
      <c r="AA34" s="47" t="n"/>
      <c r="AB34" s="47" t="n"/>
    </row>
    <row r="35" ht="16.5" customHeight="1" thickBot="1">
      <c r="A35" s="17">
        <f>IF(OR(C35=2,C35=8),"F","U")</f>
        <v/>
      </c>
      <c r="B35" s="46">
        <f>B34+1</f>
        <v/>
      </c>
      <c r="C35" s="375">
        <f>WEEKDAY(B35)+1</f>
        <v/>
      </c>
      <c r="D35" s="305" t="n"/>
      <c r="E35" s="306" t="n"/>
      <c r="F35" s="371" t="n">
        <v>0</v>
      </c>
      <c r="G35" s="372" t="n">
        <v>0</v>
      </c>
      <c r="H35" s="372" t="n">
        <v>0</v>
      </c>
      <c r="I35" s="373" t="n">
        <v>0</v>
      </c>
      <c r="J35" s="338" t="n"/>
      <c r="K35" s="339" t="n"/>
      <c r="L35" s="329">
        <f>IF(A35="U",(G35-F35)+(I35-H35)+(K35-J35),"NÃO ÚTIL")</f>
        <v/>
      </c>
      <c r="M35" s="330">
        <f>IF(A35="U",L7,"NÃO ÚTIL")</f>
        <v/>
      </c>
      <c r="N35" s="331">
        <f>IF(A35="U",(L35-M35),"NÃO ÚTIL")</f>
        <v/>
      </c>
      <c r="O35" s="47" t="n"/>
      <c r="P35" s="332">
        <f>IF(N35="não útil",0,N35)</f>
        <v/>
      </c>
      <c r="Q35" s="337">
        <f>P35+Q34</f>
        <v/>
      </c>
      <c r="R35" s="332">
        <f>Q35+$Q$4</f>
        <v/>
      </c>
      <c r="S35" s="47">
        <f>IF(B35=T35,"HOJE",".")</f>
        <v/>
      </c>
      <c r="T35" s="62">
        <f>TODAY()</f>
        <v/>
      </c>
      <c r="U35" s="332">
        <f>IF(S35="HOJE",R35,0)</f>
        <v/>
      </c>
      <c r="V35" s="47" t="n"/>
      <c r="W35" s="47" t="n"/>
      <c r="X35" s="47" t="n"/>
      <c r="Y35" s="47" t="n"/>
      <c r="Z35" s="47" t="n"/>
      <c r="AA35" s="47" t="n"/>
      <c r="AB35" s="47" t="n"/>
    </row>
    <row r="36" ht="16.5" customHeight="1" thickBot="1">
      <c r="A36" s="17">
        <f>IF(OR(C36=2,C36=8),"F","U")</f>
        <v/>
      </c>
      <c r="B36" s="46">
        <f>B35+1</f>
        <v/>
      </c>
      <c r="C36" s="375">
        <f>WEEKDAY(B36)+1</f>
        <v/>
      </c>
      <c r="D36" s="305" t="n"/>
      <c r="E36" s="306" t="n"/>
      <c r="F36" s="371" t="n">
        <v>0</v>
      </c>
      <c r="G36" s="372" t="n">
        <v>0</v>
      </c>
      <c r="H36" s="372" t="n">
        <v>0</v>
      </c>
      <c r="I36" s="373" t="n">
        <v>0</v>
      </c>
      <c r="J36" s="335" t="n"/>
      <c r="K36" s="336" t="n"/>
      <c r="L36" s="329">
        <f>IF(A36="U",(G36-F36)+(I36-H36)+(K36-J36),"NÃO ÚTIL")</f>
        <v/>
      </c>
      <c r="M36" s="330">
        <f>IF(A36="U",L7,"NÃO ÚTIL")</f>
        <v/>
      </c>
      <c r="N36" s="331">
        <f>IF(A36="U",(L36-M36),"NÃO ÚTIL")</f>
        <v/>
      </c>
      <c r="O36" s="47" t="n"/>
      <c r="P36" s="332">
        <f>IF(N36="não útil",0,N36)</f>
        <v/>
      </c>
      <c r="Q36" s="337">
        <f>P36+Q35</f>
        <v/>
      </c>
      <c r="R36" s="332">
        <f>Q36+$Q$4</f>
        <v/>
      </c>
      <c r="S36" s="47">
        <f>IF(B36=T36,"HOJE",".")</f>
        <v/>
      </c>
      <c r="T36" s="62">
        <f>TODAY()</f>
        <v/>
      </c>
      <c r="U36" s="332">
        <f>IF(S36="HOJE",R36,0)</f>
        <v/>
      </c>
      <c r="V36" s="47" t="n"/>
      <c r="W36" s="47" t="n"/>
      <c r="X36" s="47" t="n"/>
      <c r="Y36" s="47" t="n"/>
      <c r="Z36" s="47" t="n"/>
      <c r="AA36" s="47" t="n"/>
      <c r="AB36" s="47" t="n"/>
    </row>
    <row r="37" ht="16.5" customHeight="1" thickBot="1">
      <c r="A37" s="17">
        <f>IF(OR(C37=2,C37=8),"F","U")</f>
        <v/>
      </c>
      <c r="B37" s="46">
        <f>B36+1</f>
        <v/>
      </c>
      <c r="C37" s="375">
        <f>WEEKDAY(B37)+1</f>
        <v/>
      </c>
      <c r="D37" s="305" t="n"/>
      <c r="E37" s="306" t="n"/>
      <c r="F37" s="371" t="n">
        <v>0</v>
      </c>
      <c r="G37" s="372" t="n">
        <v>0</v>
      </c>
      <c r="H37" s="372" t="n">
        <v>0</v>
      </c>
      <c r="I37" s="373" t="n">
        <v>0</v>
      </c>
      <c r="J37" s="338" t="n"/>
      <c r="K37" s="345" t="n"/>
      <c r="L37" s="329">
        <f>IF(A37="U",(G37-F37)+(I37-H37)+(K37-J37),"NÃO ÚTIL")</f>
        <v/>
      </c>
      <c r="M37" s="330">
        <f>IF(A37="U",L7,"NÃO ÚTIL")</f>
        <v/>
      </c>
      <c r="N37" s="331">
        <f>IF(A37="U",(L37-M37),"NÃO ÚTIL")</f>
        <v/>
      </c>
      <c r="O37" s="47" t="n"/>
      <c r="P37" s="332">
        <f>IF(N37="não útil",0,N37)</f>
        <v/>
      </c>
      <c r="Q37" s="337">
        <f>P37+Q36</f>
        <v/>
      </c>
      <c r="R37" s="332">
        <f>Q37+$Q$4</f>
        <v/>
      </c>
      <c r="S37" s="47">
        <f>IF(B37=T37,"HOJE",".")</f>
        <v/>
      </c>
      <c r="T37" s="62">
        <f>TODAY()</f>
        <v/>
      </c>
      <c r="U37" s="332">
        <f>IF(S37="HOJE",R37,0)</f>
        <v/>
      </c>
      <c r="V37" s="47" t="n"/>
      <c r="W37" s="47" t="n"/>
      <c r="X37" s="47" t="n"/>
      <c r="Y37" s="47" t="n"/>
      <c r="Z37" s="47" t="n"/>
      <c r="AA37" s="47" t="n"/>
      <c r="AB37" s="47" t="n"/>
    </row>
    <row r="38" ht="16.5" customHeight="1" thickBot="1">
      <c r="A38" s="17">
        <f>IF(OR(C38=2,C38=8),"F","U")</f>
        <v/>
      </c>
      <c r="B38" s="46">
        <f>B37+1</f>
        <v/>
      </c>
      <c r="C38" s="375">
        <f>WEEKDAY(B38)+1</f>
        <v/>
      </c>
      <c r="D38" s="305" t="n"/>
      <c r="E38" s="306" t="n"/>
      <c r="F38" s="371" t="n">
        <v>0</v>
      </c>
      <c r="G38" s="372" t="n">
        <v>0</v>
      </c>
      <c r="H38" s="372" t="n">
        <v>0</v>
      </c>
      <c r="I38" s="373" t="n">
        <v>0</v>
      </c>
      <c r="J38" s="340" t="n"/>
      <c r="K38" s="345" t="n"/>
      <c r="L38" s="329">
        <f>IF(A38="U",(G38-F38)+(I38-H38)+(K38-J38),"NÃO ÚTIL")</f>
        <v/>
      </c>
      <c r="M38" s="330">
        <f>IF(A38="U",L7,"NÃO ÚTIL")</f>
        <v/>
      </c>
      <c r="N38" s="331">
        <f>IF(A38="U",(L38-M38),"NÃO ÚTIL")</f>
        <v/>
      </c>
      <c r="O38" s="47" t="n"/>
      <c r="P38" s="332">
        <f>IF(N38="não útil",0,N38)</f>
        <v/>
      </c>
      <c r="Q38" s="337">
        <f>P38+Q37</f>
        <v/>
      </c>
      <c r="R38" s="332">
        <f>Q38+$Q$4</f>
        <v/>
      </c>
      <c r="S38" s="47">
        <f>IF(B38=T38,"HOJE",".")</f>
        <v/>
      </c>
      <c r="T38" s="62">
        <f>TODAY()</f>
        <v/>
      </c>
      <c r="U38" s="332">
        <f>IF(S38="HOJE",R38,0)</f>
        <v/>
      </c>
      <c r="V38" s="47" t="n"/>
      <c r="W38" s="47" t="n"/>
      <c r="X38" s="47" t="n"/>
      <c r="Y38" s="47" t="n"/>
      <c r="Z38" s="47" t="n"/>
      <c r="AA38" s="47" t="n"/>
      <c r="AB38" s="47" t="n"/>
    </row>
    <row r="39" ht="16.5" customHeight="1" thickBot="1">
      <c r="A39" s="17">
        <f>IF(OR(C39=2,C39=8),"F","U")</f>
        <v/>
      </c>
      <c r="B39" s="46">
        <f>B38+1</f>
        <v/>
      </c>
      <c r="C39" s="375">
        <f>WEEKDAY(B39)+1</f>
        <v/>
      </c>
      <c r="D39" s="305" t="n"/>
      <c r="E39" s="306" t="n"/>
      <c r="F39" s="371" t="n">
        <v>0</v>
      </c>
      <c r="G39" s="372" t="n">
        <v>0</v>
      </c>
      <c r="H39" s="372" t="n">
        <v>0</v>
      </c>
      <c r="I39" s="373" t="n">
        <v>0</v>
      </c>
      <c r="J39" s="377" t="n"/>
      <c r="K39" s="339" t="n"/>
      <c r="L39" s="329">
        <f>IF(A39="U",(G39-F39)+(I39-H39)+(K39-J39),"NÃO ÚTIL")</f>
        <v/>
      </c>
      <c r="M39" s="330">
        <f>IF(A39="U",L7,"NÃO ÚTIL")</f>
        <v/>
      </c>
      <c r="N39" s="331">
        <f>IF(A39="U",(L39-M39),"NÃO ÚTIL")</f>
        <v/>
      </c>
      <c r="O39" s="47" t="n"/>
      <c r="P39" s="332">
        <f>IF(N39="não útil",0,N39)</f>
        <v/>
      </c>
      <c r="Q39" s="337">
        <f>P39+Q38</f>
        <v/>
      </c>
      <c r="R39" s="332">
        <f>Q39+$Q$4</f>
        <v/>
      </c>
      <c r="S39" s="47">
        <f>IF(B39=T39,"HOJE",".")</f>
        <v/>
      </c>
      <c r="T39" s="62">
        <f>TODAY()</f>
        <v/>
      </c>
      <c r="U39" s="332">
        <f>IF(S39="HOJE",R39,0)</f>
        <v/>
      </c>
      <c r="V39" s="47" t="n"/>
      <c r="W39" s="47" t="n"/>
      <c r="X39" s="47" t="n"/>
      <c r="Y39" s="47" t="n"/>
      <c r="Z39" s="47" t="n"/>
      <c r="AA39" s="47" t="n"/>
      <c r="AB39" s="47" t="n"/>
    </row>
    <row r="40" ht="16.5" customHeight="1" thickBot="1">
      <c r="A40" s="17">
        <f>IF(OR(C40=2,C40=8),"F","U")</f>
        <v/>
      </c>
      <c r="B40" s="46">
        <f>B39+1</f>
        <v/>
      </c>
      <c r="C40" s="375">
        <f>WEEKDAY(B40)+1</f>
        <v/>
      </c>
      <c r="D40" s="305" t="n"/>
      <c r="E40" s="306" t="n"/>
      <c r="F40" s="371" t="n">
        <v>0</v>
      </c>
      <c r="G40" s="372" t="n">
        <v>0</v>
      </c>
      <c r="H40" s="372" t="n">
        <v>0</v>
      </c>
      <c r="I40" s="373" t="n">
        <v>0</v>
      </c>
      <c r="J40" s="378" t="n"/>
      <c r="K40" s="341" t="n"/>
      <c r="L40" s="329">
        <f>IF(A40="U",(G40-F40)+(I40-H40)+(K40-J40),"NÃO ÚTIL")</f>
        <v/>
      </c>
      <c r="M40" s="330">
        <f>IF(A40="U",L7,"NÃO ÚTIL")</f>
        <v/>
      </c>
      <c r="N40" s="331">
        <f>IF(A40="U",(L40-M40),"NÃO ÚTIL")</f>
        <v/>
      </c>
      <c r="O40" s="47" t="n"/>
      <c r="P40" s="332">
        <f>IF(N40="não útil",0,N40)</f>
        <v/>
      </c>
      <c r="Q40" s="337">
        <f>P40+Q39</f>
        <v/>
      </c>
      <c r="R40" s="332">
        <f>Q40+$Q$4</f>
        <v/>
      </c>
      <c r="S40" s="47">
        <f>IF(B40=T40,"HOJE",".")</f>
        <v/>
      </c>
      <c r="T40" s="62">
        <f>TODAY()</f>
        <v/>
      </c>
      <c r="U40" s="332">
        <f>IF(S40="HOJE",R40,0)</f>
        <v/>
      </c>
      <c r="V40" s="47" t="n"/>
      <c r="W40" s="47" t="n"/>
      <c r="X40" s="47" t="n"/>
      <c r="Y40" s="47" t="n"/>
      <c r="Z40" s="47" t="n"/>
      <c r="AA40" s="47" t="n"/>
      <c r="AB40" s="47" t="n"/>
    </row>
    <row r="41" ht="16.5" customHeight="1" thickBot="1">
      <c r="A41" s="17">
        <f>IF(OR(C41=2,C41=8),"F","U")</f>
        <v/>
      </c>
      <c r="B41" s="46">
        <f>B40+1</f>
        <v/>
      </c>
      <c r="C41" s="375">
        <f>WEEKDAY(B41)+1</f>
        <v/>
      </c>
      <c r="D41" s="305" t="n"/>
      <c r="E41" s="306" t="n"/>
      <c r="F41" s="371" t="n">
        <v>0</v>
      </c>
      <c r="G41" s="372" t="n">
        <v>0</v>
      </c>
      <c r="H41" s="372" t="n">
        <v>0</v>
      </c>
      <c r="I41" s="373" t="n">
        <v>0</v>
      </c>
      <c r="J41" s="377" t="n"/>
      <c r="K41" s="339" t="n"/>
      <c r="L41" s="329">
        <f>IF(A41="U",(G41-F41)+(I41-H41)+(K41-J41),"NÃO ÚTIL")</f>
        <v/>
      </c>
      <c r="M41" s="330">
        <f>IF(A41="U",L7,"NÃO ÚTIL")</f>
        <v/>
      </c>
      <c r="N41" s="331">
        <f>IF(A41="U",(L41-M41),"NÃO ÚTIL")</f>
        <v/>
      </c>
      <c r="O41" s="47" t="n"/>
      <c r="P41" s="332">
        <f>IF(N41="não útil",0,N41)</f>
        <v/>
      </c>
      <c r="Q41" s="337">
        <f>P41+Q40</f>
        <v/>
      </c>
      <c r="R41" s="332">
        <f>Q41+$Q$4</f>
        <v/>
      </c>
      <c r="S41" s="47">
        <f>IF(B41=T41,"HOJE",".")</f>
        <v/>
      </c>
      <c r="T41" s="62">
        <f>TODAY()</f>
        <v/>
      </c>
      <c r="U41" s="332">
        <f>IF(S41="HOJE",R41,0)</f>
        <v/>
      </c>
      <c r="V41" s="47" t="n"/>
      <c r="W41" s="47" t="n"/>
      <c r="X41" s="47" t="n"/>
      <c r="Y41" s="47" t="n"/>
      <c r="Z41" s="47" t="n"/>
      <c r="AA41" s="47" t="n"/>
      <c r="AB41" s="47" t="n"/>
    </row>
    <row r="42" ht="16.5" customHeight="1" thickBot="1">
      <c r="A42" s="17">
        <f>IF(OR(C42=2,C42=8),"F","U")</f>
        <v/>
      </c>
      <c r="B42" s="46">
        <f>B41+1</f>
        <v/>
      </c>
      <c r="C42" s="381">
        <f>WEEKDAY(B42)+1</f>
        <v/>
      </c>
      <c r="D42" s="315" t="n"/>
      <c r="E42" s="382" t="n"/>
      <c r="F42" s="371" t="n">
        <v>0</v>
      </c>
      <c r="G42" s="372" t="n">
        <v>0</v>
      </c>
      <c r="H42" s="372" t="n">
        <v>0</v>
      </c>
      <c r="I42" s="373" t="n">
        <v>0</v>
      </c>
      <c r="J42" s="377" t="n"/>
      <c r="K42" s="339" t="n"/>
      <c r="L42" s="329">
        <f>IF(A42="U",(G42-F42)+(I42-H42)+(K42-J42),"NÃO ÚTIL")</f>
        <v/>
      </c>
      <c r="M42" s="330">
        <f>IF(A42="U",L7,"NÃO ÚTIL")</f>
        <v/>
      </c>
      <c r="N42" s="331">
        <f>IF(A42="U",(L42-M42),"NÃO ÚTIL")</f>
        <v/>
      </c>
      <c r="O42" s="47" t="n"/>
      <c r="P42" s="332">
        <f>IF(N42="não útil",0,N42)</f>
        <v/>
      </c>
      <c r="Q42" s="337">
        <f>P42+Q41</f>
        <v/>
      </c>
      <c r="R42" s="332">
        <f>Q42+$Q$4</f>
        <v/>
      </c>
      <c r="S42" s="47">
        <f>IF(B42=T42,"HOJE",".")</f>
        <v/>
      </c>
      <c r="T42" s="62">
        <f>TODAY()</f>
        <v/>
      </c>
      <c r="U42" s="332">
        <f>IF(S42="HOJE",R42,0)</f>
        <v/>
      </c>
      <c r="V42" s="47" t="n"/>
      <c r="W42" s="47" t="n"/>
      <c r="X42" s="47" t="n"/>
      <c r="Y42" s="47" t="n"/>
      <c r="Z42" s="47" t="n"/>
      <c r="AA42" s="47" t="n"/>
      <c r="AB42" s="47" t="n"/>
    </row>
    <row r="43" ht="23.25" customHeight="1" thickBot="1">
      <c r="A43" s="346" t="inlineStr">
        <is>
          <t>TOTAL MÊS:</t>
        </is>
      </c>
      <c r="B43" s="347" t="n"/>
      <c r="C43" s="347" t="n"/>
      <c r="D43" s="347" t="n"/>
      <c r="E43" s="347" t="n"/>
      <c r="F43" s="347" t="n"/>
      <c r="G43" s="347" t="n"/>
      <c r="H43" s="347" t="n"/>
      <c r="I43" s="347" t="n"/>
      <c r="J43" s="347" t="n"/>
      <c r="K43" s="348" t="n"/>
      <c r="L43" s="383">
        <f>SUM(L14:L42)</f>
        <v/>
      </c>
      <c r="M43" s="383">
        <f>SUM(M14:M42)</f>
        <v/>
      </c>
      <c r="N43" s="384">
        <f>SUM(N14:N42)</f>
        <v/>
      </c>
      <c r="O43" s="47" t="n"/>
      <c r="P43" s="332" t="n"/>
      <c r="Q43" s="337" t="n"/>
      <c r="R43" s="332" t="n"/>
      <c r="S43" s="47" t="n"/>
      <c r="T43" s="62" t="n"/>
      <c r="U43" s="332" t="n"/>
      <c r="V43" s="47" t="n"/>
      <c r="W43" s="47" t="n"/>
      <c r="X43" s="47" t="n"/>
      <c r="Y43" s="47" t="n"/>
      <c r="Z43" s="47" t="n"/>
      <c r="AA43" s="47" t="n"/>
      <c r="AB43" s="47" t="n"/>
    </row>
    <row r="44" ht="12" customHeight="1" thickBot="1">
      <c r="A44" s="247" t="inlineStr">
        <is>
          <t>OBS:</t>
        </is>
      </c>
      <c r="B44" s="292" t="n"/>
      <c r="C44" s="160" t="n"/>
      <c r="D44" s="292" t="n"/>
      <c r="E44" s="292" t="n"/>
      <c r="F44" s="292" t="n"/>
      <c r="G44" s="292" t="n"/>
      <c r="H44" s="292" t="n"/>
      <c r="I44" s="293" t="n"/>
      <c r="J44" s="161" t="n"/>
      <c r="K44" s="347" t="n"/>
      <c r="L44" s="347" t="n"/>
      <c r="M44" s="347" t="n"/>
      <c r="N44" s="352" t="inlineStr">
        <is>
          <t>HORA (S)</t>
        </is>
      </c>
      <c r="O44" s="47" t="n"/>
      <c r="P44" s="332" t="n"/>
      <c r="Q44" s="337" t="n"/>
      <c r="R44" s="332" t="n"/>
      <c r="S44" s="47" t="n"/>
      <c r="T44" s="62" t="n"/>
      <c r="U44" s="332" t="n"/>
      <c r="V44" s="47" t="n"/>
      <c r="W44" s="47" t="n"/>
      <c r="X44" s="47" t="n"/>
      <c r="Y44" s="47" t="n"/>
      <c r="Z44" s="47" t="n"/>
      <c r="AA44" s="47" t="n"/>
      <c r="AB44" s="47" t="n"/>
    </row>
    <row r="45" ht="12" customHeight="1">
      <c r="A45" s="106" t="n"/>
      <c r="B45" s="297" t="n"/>
      <c r="C45" s="297" t="n"/>
      <c r="D45" s="297" t="n"/>
      <c r="E45" s="297" t="n"/>
      <c r="F45" s="297" t="n"/>
      <c r="G45" s="297" t="n"/>
      <c r="H45" s="297" t="n"/>
      <c r="I45" s="298" t="n"/>
      <c r="J45" s="385" t="inlineStr">
        <is>
          <t>CARGA HORÁRIA TRABAHADA (MÊS)</t>
        </is>
      </c>
      <c r="K45" s="354" t="n"/>
      <c r="L45" s="355" t="n"/>
      <c r="M45" s="356">
        <f>L43</f>
        <v/>
      </c>
      <c r="N45" s="355" t="n"/>
      <c r="O45" s="47" t="n"/>
      <c r="P45" s="47" t="n"/>
      <c r="Q45" s="47" t="n"/>
      <c r="R45" s="47" t="n"/>
      <c r="S45" s="47" t="n"/>
      <c r="T45" s="47" t="n"/>
      <c r="U45" s="47" t="n"/>
      <c r="V45" s="47" t="n"/>
      <c r="W45" s="47" t="n"/>
      <c r="X45" s="47" t="n"/>
      <c r="Y45" s="47" t="n"/>
      <c r="Z45" s="47" t="n"/>
      <c r="AA45" s="47" t="n"/>
      <c r="AB45" s="47" t="n"/>
    </row>
    <row r="46" ht="12" customHeight="1" thickBot="1">
      <c r="A46" s="106" t="n"/>
      <c r="B46" s="297" t="n"/>
      <c r="C46" s="297" t="n"/>
      <c r="D46" s="297" t="n"/>
      <c r="E46" s="297" t="n"/>
      <c r="F46" s="297" t="n"/>
      <c r="G46" s="297" t="n"/>
      <c r="H46" s="297" t="n"/>
      <c r="I46" s="298" t="n"/>
      <c r="J46" s="386" t="n"/>
      <c r="K46" s="322" t="n"/>
      <c r="L46" s="318" t="n"/>
      <c r="M46" s="321" t="n"/>
      <c r="N46" s="318" t="n"/>
      <c r="O46" s="47" t="n"/>
      <c r="P46" s="47" t="n"/>
      <c r="Q46" s="47" t="n"/>
      <c r="R46" s="47" t="n"/>
      <c r="S46" s="47" t="n"/>
      <c r="T46" s="47" t="n"/>
      <c r="U46" s="47" t="n"/>
      <c r="V46" s="47" t="n"/>
      <c r="W46" s="47" t="n"/>
      <c r="X46" s="47" t="n"/>
      <c r="Y46" s="47" t="n"/>
      <c r="Z46" s="47" t="n"/>
      <c r="AA46" s="47" t="n"/>
      <c r="AB46" s="47" t="n"/>
    </row>
    <row r="47" ht="12" customHeight="1">
      <c r="A47" s="106" t="n"/>
      <c r="B47" s="297" t="n"/>
      <c r="C47" s="297" t="n"/>
      <c r="D47" s="297" t="n"/>
      <c r="E47" s="297" t="n"/>
      <c r="F47" s="297" t="n"/>
      <c r="G47" s="297" t="n"/>
      <c r="H47" s="297" t="n"/>
      <c r="I47" s="298" t="n"/>
      <c r="J47" s="385" t="inlineStr">
        <is>
          <t>CARGA HORÁRIA PREVISTA (MÊS)</t>
        </is>
      </c>
      <c r="K47" s="354" t="n"/>
      <c r="L47" s="355" t="n"/>
      <c r="M47" s="356">
        <f>M43</f>
        <v/>
      </c>
      <c r="N47" s="355" t="n"/>
      <c r="O47" s="47" t="n"/>
      <c r="P47" s="47" t="n"/>
      <c r="Q47" s="47" t="n"/>
      <c r="R47" s="47" t="n"/>
      <c r="S47" s="47" t="n"/>
      <c r="T47" s="47" t="n"/>
      <c r="U47" s="47" t="n"/>
      <c r="V47" s="47" t="n"/>
      <c r="W47" s="47" t="n"/>
      <c r="X47" s="47" t="n"/>
      <c r="Y47" s="47" t="n"/>
      <c r="Z47" s="47" t="n"/>
      <c r="AA47" s="47" t="n"/>
      <c r="AB47" s="47" t="n"/>
    </row>
    <row r="48" ht="12" customHeight="1" thickBot="1">
      <c r="A48" s="106" t="n"/>
      <c r="B48" s="297" t="n"/>
      <c r="C48" s="297" t="n"/>
      <c r="D48" s="297" t="n"/>
      <c r="E48" s="297" t="n"/>
      <c r="F48" s="297" t="n"/>
      <c r="G48" s="297" t="n"/>
      <c r="H48" s="297" t="n"/>
      <c r="I48" s="298" t="n"/>
      <c r="J48" s="386" t="n"/>
      <c r="K48" s="322" t="n"/>
      <c r="L48" s="318" t="n"/>
      <c r="M48" s="321" t="n"/>
      <c r="N48" s="318" t="n"/>
      <c r="O48" s="47" t="n"/>
      <c r="P48" s="47" t="n"/>
      <c r="Q48" s="47" t="n"/>
      <c r="R48" s="47" t="n"/>
      <c r="S48" s="47" t="n"/>
      <c r="T48" s="47" t="n"/>
      <c r="U48" s="47" t="n"/>
      <c r="V48" s="47" t="n"/>
      <c r="W48" s="47" t="n"/>
      <c r="X48" s="47" t="n"/>
      <c r="Y48" s="47" t="n"/>
      <c r="Z48" s="47" t="n"/>
      <c r="AA48" s="47" t="n"/>
      <c r="AB48" s="47" t="n"/>
    </row>
    <row r="49" ht="12" customHeight="1">
      <c r="A49" s="106" t="n"/>
      <c r="B49" s="297" t="n"/>
      <c r="C49" s="297" t="n"/>
      <c r="D49" s="297" t="n"/>
      <c r="E49" s="297" t="n"/>
      <c r="F49" s="297" t="n"/>
      <c r="G49" s="297" t="n"/>
      <c r="H49" s="297" t="n"/>
      <c r="I49" s="298" t="n"/>
      <c r="J49" s="387" t="inlineStr">
        <is>
          <t>SALDO CARGA HORÁRIA (MÊS)</t>
        </is>
      </c>
      <c r="K49" s="354" t="n"/>
      <c r="L49" s="355" t="n"/>
      <c r="M49" s="356">
        <f>N43</f>
        <v/>
      </c>
      <c r="N49" s="355" t="n"/>
      <c r="O49" s="47" t="n"/>
      <c r="P49" s="47" t="n"/>
      <c r="Q49" s="47" t="n"/>
      <c r="R49" s="47" t="n"/>
      <c r="S49" s="47" t="n"/>
      <c r="T49" s="47" t="n"/>
      <c r="U49" s="47" t="n"/>
      <c r="V49" s="47" t="n"/>
      <c r="W49" s="47" t="n"/>
      <c r="X49" s="47" t="n"/>
      <c r="Y49" s="47" t="n"/>
      <c r="Z49" s="47" t="n"/>
      <c r="AA49" s="47" t="n"/>
      <c r="AB49" s="47" t="n"/>
    </row>
    <row r="50" ht="12" customHeight="1" thickBot="1">
      <c r="A50" s="106" t="n"/>
      <c r="B50" s="297" t="n"/>
      <c r="C50" s="297" t="n"/>
      <c r="D50" s="297" t="n"/>
      <c r="E50" s="297" t="n"/>
      <c r="F50" s="297" t="n"/>
      <c r="G50" s="297" t="n"/>
      <c r="H50" s="297" t="n"/>
      <c r="I50" s="298" t="n"/>
      <c r="J50" s="386" t="n"/>
      <c r="K50" s="322" t="n"/>
      <c r="L50" s="318" t="n"/>
      <c r="M50" s="321" t="n"/>
      <c r="N50" s="318" t="n"/>
      <c r="O50" s="47" t="n"/>
      <c r="P50" s="47" t="n"/>
      <c r="Q50" s="47" t="n"/>
      <c r="R50" s="47" t="n"/>
      <c r="S50" s="47" t="n"/>
      <c r="T50" s="47" t="n"/>
      <c r="U50" s="47" t="n"/>
      <c r="V50" s="47" t="n"/>
      <c r="W50" s="47" t="n"/>
      <c r="X50" s="47" t="n"/>
      <c r="Y50" s="47" t="n"/>
      <c r="Z50" s="47" t="n"/>
      <c r="AA50" s="47" t="n"/>
      <c r="AB50" s="47" t="n"/>
    </row>
    <row r="51" ht="12" customHeight="1">
      <c r="A51" s="106" t="n"/>
      <c r="B51" s="297" t="n"/>
      <c r="C51" s="297" t="n"/>
      <c r="D51" s="297" t="n"/>
      <c r="E51" s="297" t="n"/>
      <c r="F51" s="297" t="n"/>
      <c r="G51" s="297" t="n"/>
      <c r="H51" s="297" t="n"/>
      <c r="I51" s="298" t="n"/>
      <c r="J51" s="387" t="inlineStr">
        <is>
          <t>SALDO MÊS ANTERIOR</t>
        </is>
      </c>
      <c r="K51" s="354" t="n"/>
      <c r="L51" s="355" t="n"/>
      <c r="M51" s="356">
        <f>JAN!M55</f>
        <v/>
      </c>
      <c r="N51" s="355" t="n"/>
      <c r="O51" s="47" t="n"/>
      <c r="P51" s="47" t="n"/>
      <c r="Q51" s="47" t="n"/>
      <c r="R51" s="47" t="n"/>
      <c r="S51" s="47" t="n"/>
      <c r="T51" s="47" t="n"/>
      <c r="U51" s="47" t="n"/>
      <c r="V51" s="47" t="n"/>
      <c r="W51" s="47" t="n"/>
      <c r="X51" s="47" t="n"/>
      <c r="Y51" s="47" t="n"/>
      <c r="Z51" s="47" t="n"/>
      <c r="AA51" s="47" t="n"/>
      <c r="AB51" s="47" t="n"/>
    </row>
    <row r="52" ht="12" customHeight="1" thickBot="1">
      <c r="A52" s="106" t="n"/>
      <c r="B52" s="297" t="n"/>
      <c r="C52" s="297" t="n"/>
      <c r="D52" s="297" t="n"/>
      <c r="E52" s="297" t="n"/>
      <c r="F52" s="297" t="n"/>
      <c r="G52" s="297" t="n"/>
      <c r="H52" s="297" t="n"/>
      <c r="I52" s="298" t="n"/>
      <c r="J52" s="386" t="n"/>
      <c r="K52" s="322" t="n"/>
      <c r="L52" s="318" t="n"/>
      <c r="M52" s="321" t="n"/>
      <c r="N52" s="318" t="n"/>
      <c r="O52" s="47" t="n"/>
      <c r="P52" s="47" t="n"/>
      <c r="Q52" s="47" t="n"/>
      <c r="R52" s="47" t="n"/>
      <c r="S52" s="47" t="n"/>
      <c r="T52" s="47" t="n"/>
      <c r="U52" s="47" t="n"/>
      <c r="V52" s="47" t="n"/>
      <c r="W52" s="47" t="n"/>
      <c r="X52" s="47" t="n"/>
      <c r="Y52" s="47" t="n"/>
      <c r="Z52" s="47" t="n"/>
      <c r="AA52" s="47" t="n"/>
      <c r="AB52" s="47" t="n"/>
    </row>
    <row r="53" ht="12" customHeight="1">
      <c r="A53" s="106" t="n"/>
      <c r="B53" s="297" t="n"/>
      <c r="C53" s="297" t="n"/>
      <c r="D53" s="297" t="n"/>
      <c r="E53" s="297" t="n"/>
      <c r="F53" s="297" t="n"/>
      <c r="G53" s="297" t="n"/>
      <c r="H53" s="297" t="n"/>
      <c r="I53" s="298" t="n"/>
      <c r="J53" s="388" t="inlineStr">
        <is>
          <t>SALDO TOTAL</t>
        </is>
      </c>
      <c r="K53" s="354" t="n"/>
      <c r="L53" s="355" t="n"/>
      <c r="M53" s="356">
        <f>SUM(M49:N52)</f>
        <v/>
      </c>
      <c r="N53" s="355" t="n"/>
      <c r="O53" s="47" t="n"/>
      <c r="P53" s="47" t="n"/>
      <c r="Q53" s="47" t="n"/>
      <c r="R53" s="47" t="n"/>
      <c r="S53" s="47" t="n"/>
      <c r="T53" s="47" t="n"/>
      <c r="U53" s="47" t="n"/>
      <c r="V53" s="47" t="n"/>
      <c r="W53" s="47" t="n"/>
      <c r="X53" s="47" t="n"/>
      <c r="Y53" s="47" t="n"/>
      <c r="Z53" s="47" t="n"/>
      <c r="AA53" s="47" t="n"/>
      <c r="AB53" s="47" t="n"/>
    </row>
    <row r="54" ht="12" customHeight="1" thickBot="1">
      <c r="A54" s="106" t="n"/>
      <c r="B54" s="297" t="n"/>
      <c r="C54" s="297" t="n"/>
      <c r="D54" s="297" t="n"/>
      <c r="E54" s="297" t="n"/>
      <c r="F54" s="297" t="n"/>
      <c r="G54" s="297" t="n"/>
      <c r="H54" s="297" t="n"/>
      <c r="I54" s="298" t="n"/>
      <c r="J54" s="386" t="n"/>
      <c r="K54" s="322" t="n"/>
      <c r="L54" s="318" t="n"/>
      <c r="M54" s="321" t="n"/>
      <c r="N54" s="318" t="n"/>
      <c r="O54" s="47" t="n"/>
      <c r="P54" s="47" t="n"/>
      <c r="Q54" s="47" t="n"/>
      <c r="R54" s="47" t="n"/>
      <c r="S54" s="47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</row>
    <row r="55" ht="12" customHeight="1">
      <c r="A55" s="106" t="n"/>
      <c r="B55" s="297" t="n"/>
      <c r="C55" s="297" t="n"/>
      <c r="D55" s="297" t="n"/>
      <c r="E55" s="297" t="n"/>
      <c r="F55" s="297" t="n"/>
      <c r="G55" s="297" t="n"/>
      <c r="H55" s="297" t="n"/>
      <c r="I55" s="298" t="n"/>
      <c r="J55" s="387" t="inlineStr">
        <is>
          <t>SALDO: CREDOR? DEVEDOR?</t>
        </is>
      </c>
      <c r="K55" s="354" t="n"/>
      <c r="L55" s="355" t="n"/>
      <c r="M55" s="363">
        <f>IF(M53&lt;0,"DVEEDOR","CREDOR")</f>
        <v/>
      </c>
      <c r="N55" s="355" t="n"/>
      <c r="O55" s="47" t="n"/>
      <c r="P55" s="47" t="n"/>
      <c r="Q55" s="47" t="n"/>
      <c r="R55" s="47" t="n"/>
      <c r="S55" s="47" t="n"/>
      <c r="T55" s="47" t="n"/>
      <c r="U55" s="47" t="n"/>
      <c r="V55" s="47" t="n"/>
      <c r="W55" s="47" t="n"/>
      <c r="X55" s="47" t="n"/>
      <c r="Y55" s="47" t="n"/>
      <c r="Z55" s="47" t="n"/>
      <c r="AA55" s="47" t="n"/>
      <c r="AB55" s="47" t="n"/>
    </row>
    <row r="56" ht="12" customHeight="1" thickBot="1">
      <c r="A56" s="106" t="n"/>
      <c r="B56" s="297" t="n"/>
      <c r="C56" s="297" t="n"/>
      <c r="D56" s="297" t="n"/>
      <c r="E56" s="297" t="n"/>
      <c r="F56" s="297" t="n"/>
      <c r="G56" s="297" t="n"/>
      <c r="H56" s="297" t="n"/>
      <c r="I56" s="298" t="n"/>
      <c r="J56" s="386" t="n"/>
      <c r="K56" s="322" t="n"/>
      <c r="L56" s="318" t="n"/>
      <c r="M56" s="321" t="n"/>
      <c r="N56" s="318" t="n"/>
      <c r="O56" s="47" t="n"/>
      <c r="P56" s="47" t="n"/>
      <c r="Q56" s="47" t="n"/>
      <c r="R56" s="47" t="n"/>
      <c r="S56" s="47" t="n"/>
      <c r="T56" s="47" t="n"/>
      <c r="U56" s="47" t="n"/>
      <c r="V56" s="47" t="n"/>
      <c r="W56" s="47" t="n"/>
      <c r="X56" s="47" t="n"/>
      <c r="Y56" s="47" t="n"/>
      <c r="Z56" s="47" t="n"/>
      <c r="AA56" s="47" t="n"/>
      <c r="AB56" s="47" t="n"/>
    </row>
    <row r="57" ht="12" customHeight="1">
      <c r="A57" s="106" t="n"/>
      <c r="B57" s="297" t="n"/>
      <c r="C57" s="297" t="n"/>
      <c r="D57" s="297" t="n"/>
      <c r="E57" s="297" t="n"/>
      <c r="F57" s="297" t="n"/>
      <c r="G57" s="297" t="n"/>
      <c r="H57" s="297" t="n"/>
      <c r="I57" s="298" t="n"/>
      <c r="J57" s="389" t="n"/>
      <c r="K57" s="354" t="n"/>
      <c r="L57" s="355" t="n"/>
      <c r="M57" s="364" t="n"/>
      <c r="N57" s="355" t="n"/>
      <c r="O57" s="47" t="n"/>
      <c r="P57" s="47" t="n"/>
      <c r="Q57" s="47" t="n"/>
      <c r="R57" s="47" t="n"/>
      <c r="S57" s="47" t="n"/>
      <c r="T57" s="47" t="n"/>
      <c r="U57" s="47" t="n"/>
      <c r="V57" s="47" t="n"/>
      <c r="W57" s="47" t="n"/>
      <c r="X57" s="47" t="n"/>
      <c r="Y57" s="47" t="n"/>
      <c r="Z57" s="47" t="n"/>
      <c r="AA57" s="47" t="n"/>
      <c r="AB57" s="47" t="n"/>
    </row>
    <row r="58" ht="12" customHeight="1" thickBot="1">
      <c r="A58" s="106" t="n"/>
      <c r="B58" s="297" t="n"/>
      <c r="C58" s="297" t="n"/>
      <c r="D58" s="297" t="n"/>
      <c r="E58" s="297" t="n"/>
      <c r="F58" s="297" t="n"/>
      <c r="G58" s="297" t="n"/>
      <c r="H58" s="297" t="n"/>
      <c r="I58" s="298" t="n"/>
      <c r="J58" s="386" t="n"/>
      <c r="K58" s="322" t="n"/>
      <c r="L58" s="318" t="n"/>
      <c r="M58" s="321" t="n"/>
      <c r="N58" s="318" t="n"/>
      <c r="O58" s="47" t="n"/>
      <c r="P58" s="47" t="n"/>
      <c r="Q58" s="47" t="n"/>
      <c r="R58" s="47" t="n"/>
      <c r="S58" s="47" t="n"/>
      <c r="T58" s="47" t="n"/>
      <c r="U58" s="47" t="n"/>
      <c r="V58" s="47" t="n"/>
      <c r="W58" s="47" t="n"/>
      <c r="X58" s="47" t="n"/>
      <c r="Y58" s="47" t="n"/>
      <c r="Z58" s="47" t="n"/>
      <c r="AA58" s="47" t="n"/>
      <c r="AB58" s="47" t="n"/>
    </row>
    <row r="59" ht="12" customHeight="1" thickBot="1">
      <c r="A59" s="116" t="n"/>
      <c r="B59" s="312" t="n"/>
      <c r="C59" s="312" t="n"/>
      <c r="D59" s="312" t="n"/>
      <c r="E59" s="312" t="n"/>
      <c r="F59" s="312" t="n"/>
      <c r="G59" s="312" t="n"/>
      <c r="H59" s="312" t="n"/>
      <c r="I59" s="313" t="n"/>
      <c r="J59" s="389" t="n"/>
      <c r="K59" s="347" t="n"/>
      <c r="L59" s="348" t="n"/>
      <c r="M59" s="364" t="n"/>
      <c r="N59" s="348" t="n"/>
      <c r="O59" s="47" t="n"/>
      <c r="P59" s="47" t="n"/>
      <c r="Q59" s="47" t="n"/>
      <c r="R59" s="47" t="n"/>
      <c r="S59" s="47" t="n"/>
      <c r="T59" s="47" t="n"/>
      <c r="U59" s="47" t="n"/>
      <c r="V59" s="47" t="n"/>
      <c r="W59" s="47" t="n"/>
      <c r="X59" s="47" t="n"/>
      <c r="Y59" s="47" t="n"/>
      <c r="Z59" s="47" t="n"/>
      <c r="AA59" s="47" t="n"/>
      <c r="AB59" s="47" t="n"/>
    </row>
    <row r="60" ht="15" customHeight="1">
      <c r="A60" s="51" t="n"/>
      <c r="B60" s="51" t="n"/>
      <c r="C60" s="51" t="n"/>
      <c r="D60" s="51" t="n"/>
      <c r="E60" s="51" t="n"/>
      <c r="F60" s="51" t="n"/>
      <c r="G60" s="51" t="n"/>
      <c r="H60" s="51" t="n"/>
      <c r="I60" s="51" t="n"/>
      <c r="J60" s="51" t="n"/>
      <c r="K60" s="51" t="n"/>
      <c r="L60" s="104" t="inlineStr">
        <is>
          <t>Colaboração do Tônio</t>
        </is>
      </c>
      <c r="M60" s="354" t="n"/>
      <c r="N60" s="354" t="n"/>
      <c r="O60" s="47" t="n"/>
      <c r="P60" s="47" t="n"/>
      <c r="Q60" s="47" t="n"/>
      <c r="R60" s="47" t="n"/>
      <c r="S60" s="47" t="n"/>
      <c r="T60" s="47" t="n"/>
      <c r="U60" s="47" t="n"/>
      <c r="V60" s="47" t="n"/>
      <c r="W60" s="47" t="n"/>
      <c r="X60" s="47" t="n"/>
      <c r="Y60" s="47" t="n"/>
      <c r="Z60" s="47" t="n"/>
      <c r="AA60" s="47" t="n"/>
      <c r="AB60" s="47" t="n"/>
    </row>
    <row r="61">
      <c r="A61" s="51" t="n"/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1" t="n"/>
      <c r="L61" s="51" t="n"/>
      <c r="M61" s="51" t="n"/>
      <c r="N61" s="51" t="n"/>
      <c r="O61" s="47" t="n"/>
      <c r="P61" s="47" t="n"/>
      <c r="Q61" s="47" t="n"/>
      <c r="R61" s="47" t="n"/>
      <c r="S61" s="47" t="n"/>
      <c r="T61" s="47" t="n"/>
      <c r="U61" s="47" t="n"/>
      <c r="V61" s="47" t="n"/>
      <c r="W61" s="47" t="n"/>
      <c r="X61" s="47" t="n"/>
      <c r="Y61" s="47" t="n"/>
      <c r="Z61" s="47" t="n"/>
      <c r="AA61" s="47" t="n"/>
      <c r="AB61" s="47" t="n"/>
    </row>
    <row r="62">
      <c r="P62" s="47" t="n"/>
      <c r="Q62" s="47" t="n"/>
      <c r="R62" s="47" t="n"/>
      <c r="S62" s="47" t="n"/>
      <c r="T62" s="47" t="n"/>
      <c r="U62" s="47" t="n"/>
      <c r="V62" s="47" t="n"/>
    </row>
  </sheetData>
  <mergeCells count="92">
    <mergeCell ref="A12:E13"/>
    <mergeCell ref="M59:N59"/>
    <mergeCell ref="C31:E31"/>
    <mergeCell ref="J10:K10"/>
    <mergeCell ref="C40:E40"/>
    <mergeCell ref="A56:I56"/>
    <mergeCell ref="C21:E21"/>
    <mergeCell ref="M57:N58"/>
    <mergeCell ref="A7:B7"/>
    <mergeCell ref="C23:E23"/>
    <mergeCell ref="L60:N60"/>
    <mergeCell ref="J44:M44"/>
    <mergeCell ref="A53:I53"/>
    <mergeCell ref="R12:S12"/>
    <mergeCell ref="C18:E18"/>
    <mergeCell ref="J55:L56"/>
    <mergeCell ref="M49:N50"/>
    <mergeCell ref="C34:E34"/>
    <mergeCell ref="A48:I48"/>
    <mergeCell ref="C42:E42"/>
    <mergeCell ref="A59:I59"/>
    <mergeCell ref="J45:L46"/>
    <mergeCell ref="J47:L48"/>
    <mergeCell ref="C20:E20"/>
    <mergeCell ref="C25:E25"/>
    <mergeCell ref="A46:I46"/>
    <mergeCell ref="A11:B11"/>
    <mergeCell ref="C8:I8"/>
    <mergeCell ref="C22:E22"/>
    <mergeCell ref="L8:N8"/>
    <mergeCell ref="J51:L52"/>
    <mergeCell ref="M45:N46"/>
    <mergeCell ref="J57:L58"/>
    <mergeCell ref="C39:E39"/>
    <mergeCell ref="C32:E32"/>
    <mergeCell ref="C38:E38"/>
    <mergeCell ref="A52:I52"/>
    <mergeCell ref="A3:N3"/>
    <mergeCell ref="J49:L50"/>
    <mergeCell ref="A5:N5"/>
    <mergeCell ref="A8:B8"/>
    <mergeCell ref="C15:E15"/>
    <mergeCell ref="F11:H11"/>
    <mergeCell ref="C24:E24"/>
    <mergeCell ref="C44:I44"/>
    <mergeCell ref="C33:E33"/>
    <mergeCell ref="H12:I12"/>
    <mergeCell ref="A49:I49"/>
    <mergeCell ref="J12:K12"/>
    <mergeCell ref="M51:N52"/>
    <mergeCell ref="A4:N4"/>
    <mergeCell ref="A45:I45"/>
    <mergeCell ref="C26:E26"/>
    <mergeCell ref="C35:E35"/>
    <mergeCell ref="C16:E16"/>
    <mergeCell ref="K9:L9"/>
    <mergeCell ref="C7:I7"/>
    <mergeCell ref="A55:I55"/>
    <mergeCell ref="A57:I57"/>
    <mergeCell ref="C36:E36"/>
    <mergeCell ref="C11:E11"/>
    <mergeCell ref="K6:N6"/>
    <mergeCell ref="M53:N54"/>
    <mergeCell ref="M47:N48"/>
    <mergeCell ref="C28:E28"/>
    <mergeCell ref="C37:E37"/>
    <mergeCell ref="A2:N2"/>
    <mergeCell ref="C10:I10"/>
    <mergeCell ref="C30:E30"/>
    <mergeCell ref="C14:E14"/>
    <mergeCell ref="I11:N11"/>
    <mergeCell ref="P12:Q12"/>
    <mergeCell ref="C9:I9"/>
    <mergeCell ref="A43:K43"/>
    <mergeCell ref="J59:L59"/>
    <mergeCell ref="C41:E41"/>
    <mergeCell ref="A50:I50"/>
    <mergeCell ref="A6:B6"/>
    <mergeCell ref="F12:G12"/>
    <mergeCell ref="C27:E27"/>
    <mergeCell ref="A47:I47"/>
    <mergeCell ref="J53:L54"/>
    <mergeCell ref="C17:E17"/>
    <mergeCell ref="C6:I6"/>
    <mergeCell ref="C19:E19"/>
    <mergeCell ref="J7:K7"/>
    <mergeCell ref="A58:I58"/>
    <mergeCell ref="M55:N56"/>
    <mergeCell ref="A51:I51"/>
    <mergeCell ref="A44:B44"/>
    <mergeCell ref="C29:E29"/>
    <mergeCell ref="A54:I54"/>
  </mergeCells>
  <conditionalFormatting sqref="A14:A42">
    <cfRule type="containsText" priority="31" operator="containsText" dxfId="25" stopIfTrue="1" text="F">
      <formula>NOT(ISERROR(SEARCH("F",A14)))</formula>
    </cfRule>
  </conditionalFormatting>
  <conditionalFormatting sqref="C14:E42">
    <cfRule type="cellIs" priority="29" operator="equal" dxfId="11" stopIfTrue="1">
      <formula>2</formula>
    </cfRule>
    <cfRule type="cellIs" priority="30" operator="equal" dxfId="11" stopIfTrue="1">
      <formula>8</formula>
    </cfRule>
  </conditionalFormatting>
  <conditionalFormatting sqref="L43">
    <cfRule type="cellIs" priority="59" operator="equal" dxfId="10" stopIfTrue="1">
      <formula>0</formula>
    </cfRule>
  </conditionalFormatting>
  <conditionalFormatting sqref="L14:M42">
    <cfRule type="cellIs" priority="26" operator="equal" dxfId="10" stopIfTrue="1">
      <formula>0</formula>
    </cfRule>
  </conditionalFormatting>
  <conditionalFormatting sqref="L14:N42">
    <cfRule type="cellIs" priority="25" operator="greaterThan" dxfId="10" stopIfTrue="1">
      <formula>0</formula>
    </cfRule>
    <cfRule type="cellIs" priority="27" operator="lessThan" dxfId="11" stopIfTrue="1">
      <formula>0</formula>
    </cfRule>
  </conditionalFormatting>
  <conditionalFormatting sqref="L43:N43">
    <cfRule type="cellIs" priority="60" operator="greaterThan" dxfId="10" stopIfTrue="1">
      <formula>0</formula>
    </cfRule>
    <cfRule type="cellIs" priority="62" operator="lessThan" dxfId="11" stopIfTrue="1">
      <formula>0</formula>
    </cfRule>
  </conditionalFormatting>
  <conditionalFormatting sqref="M45:N46">
    <cfRule type="cellIs" priority="52" operator="equal" dxfId="10" stopIfTrue="1">
      <formula>0</formula>
    </cfRule>
  </conditionalFormatting>
  <conditionalFormatting sqref="M45:N50 M51 M53 M55:N56 M57">
    <cfRule type="cellIs" priority="57" operator="greaterThan" dxfId="10" stopIfTrue="1">
      <formula>0</formula>
    </cfRule>
    <cfRule type="cellIs" priority="58" operator="lessThan" dxfId="11" stopIfTrue="1">
      <formula>0</formula>
    </cfRule>
  </conditionalFormatting>
  <conditionalFormatting sqref="M49:N50 M51 M53">
    <cfRule type="cellIs" priority="53" operator="equal" dxfId="14" stopIfTrue="1">
      <formula>0</formula>
    </cfRule>
  </conditionalFormatting>
  <conditionalFormatting sqref="M55:N56 M57">
    <cfRule type="cellIs" priority="47" operator="equal" dxfId="13" stopIfTrue="1">
      <formula>0</formula>
    </cfRule>
  </conditionalFormatting>
  <conditionalFormatting sqref="N14:N42">
    <cfRule type="cellIs" priority="28" operator="equal" dxfId="10" stopIfTrue="1">
      <formula>0</formula>
    </cfRule>
    <cfRule type="cellIs" priority="32" operator="equal" dxfId="4" stopIfTrue="1">
      <formula>0</formula>
    </cfRule>
  </conditionalFormatting>
  <conditionalFormatting sqref="N43">
    <cfRule type="cellIs" priority="67" operator="equal" dxfId="4" stopIfTrue="1">
      <formula>0</formula>
    </cfRule>
  </conditionalFormatting>
  <pageMargins left="0.1181102362204725" right="0.1181102362204725" top="0.7874015748031497" bottom="0.7874015748031497" header="0.3149606299212598" footer="0.3149606299212598"/>
  <pageSetup orientation="portrait" paperSize="9" scale="8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3"/>
  <sheetViews>
    <sheetView workbookViewId="0">
      <selection activeCell="F18" sqref="F18"/>
    </sheetView>
  </sheetViews>
  <sheetFormatPr baseColWidth="8" defaultRowHeight="15"/>
  <cols>
    <col width="8.42578125" customWidth="1" min="6" max="10"/>
    <col width="9.140625" customWidth="1" min="11" max="11"/>
    <col width="8.5703125" customWidth="1" min="12" max="12"/>
    <col width="9.28515625" customWidth="1" min="13" max="13"/>
    <col width="8.7109375" customWidth="1" min="14" max="14"/>
    <col width="11.28515625" customWidth="1" min="16" max="16"/>
    <col width="12.140625" customWidth="1" min="19" max="19"/>
    <col hidden="1" width="12.140625" customWidth="1" min="20" max="20"/>
    <col width="12.140625" customWidth="1" min="21" max="21"/>
  </cols>
  <sheetData>
    <row r="1">
      <c r="A1" s="52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4" t="n"/>
    </row>
    <row r="2" ht="15.75" customHeight="1">
      <c r="A2" s="286" t="inlineStr">
        <is>
          <t>GOVERNO DO ESTADO DO ESPÍRITO SANTO</t>
        </is>
      </c>
      <c r="N2" s="287" t="n"/>
    </row>
    <row r="3" ht="19.5" customHeight="1">
      <c r="A3" s="286" t="inlineStr">
        <is>
          <t>SUPERINTENDÊNCIA REGIONAL DE EDUCAÇÃO DE CARAPINA</t>
        </is>
      </c>
      <c r="N3" s="287" t="n"/>
    </row>
    <row r="4" ht="25.5" customHeight="1">
      <c r="A4" s="288" t="inlineStr">
        <is>
          <t>CARTÃO DE PONTO</t>
        </is>
      </c>
      <c r="N4" s="287" t="n"/>
      <c r="Q4" s="289" t="n">
        <v>0</v>
      </c>
      <c r="R4" t="inlineStr">
        <is>
          <t>saldo anterior</t>
        </is>
      </c>
    </row>
    <row r="5" ht="6.75" customHeight="1" thickBot="1">
      <c r="A5" s="290" t="n"/>
      <c r="N5" s="287" t="n"/>
    </row>
    <row r="6" ht="15.75" customHeight="1">
      <c r="A6" s="186" t="inlineStr">
        <is>
          <t xml:space="preserve">NOME: </t>
        </is>
      </c>
      <c r="B6" s="291" t="n"/>
      <c r="C6" s="188">
        <f>JAN!C6:I6</f>
        <v/>
      </c>
      <c r="D6" s="292" t="n"/>
      <c r="E6" s="292" t="n"/>
      <c r="F6" s="292" t="n"/>
      <c r="G6" s="292" t="n"/>
      <c r="H6" s="292" t="n"/>
      <c r="I6" s="293" t="n"/>
      <c r="J6" s="1" t="inlineStr">
        <is>
          <t>MÊS:</t>
        </is>
      </c>
      <c r="K6" s="294" t="n">
        <v>43524</v>
      </c>
      <c r="L6" s="292" t="n"/>
      <c r="M6" s="292" t="n"/>
      <c r="N6" s="293" t="n"/>
    </row>
    <row r="7">
      <c r="A7" s="295" t="inlineStr">
        <is>
          <t>CARGO:</t>
        </is>
      </c>
      <c r="B7" s="296" t="n"/>
      <c r="C7" s="203">
        <f>JAN!C7:I7</f>
        <v/>
      </c>
      <c r="D7" s="297" t="n"/>
      <c r="E7" s="297" t="n"/>
      <c r="F7" s="297" t="n"/>
      <c r="G7" s="297" t="n"/>
      <c r="H7" s="297" t="n"/>
      <c r="I7" s="298" t="n"/>
      <c r="J7" s="299" t="inlineStr">
        <is>
          <t>CH DIÁRIA:</t>
        </is>
      </c>
      <c r="K7" s="296" t="n"/>
      <c r="L7" s="300">
        <f>JAN!L7</f>
        <v/>
      </c>
      <c r="M7" s="301">
        <f>JAN!M7</f>
        <v/>
      </c>
      <c r="N7" s="302">
        <f>JAN!N7</f>
        <v/>
      </c>
    </row>
    <row r="8" ht="16.5" customHeight="1">
      <c r="A8" s="295" t="inlineStr">
        <is>
          <t>FUNÇÃO:</t>
        </is>
      </c>
      <c r="B8" s="296" t="n"/>
      <c r="C8" s="303">
        <f>JAN!C8:I8</f>
        <v/>
      </c>
      <c r="D8" s="297" t="n"/>
      <c r="E8" s="297" t="n"/>
      <c r="F8" s="297" t="n"/>
      <c r="G8" s="297" t="n"/>
      <c r="H8" s="297" t="n"/>
      <c r="I8" s="298" t="n"/>
      <c r="J8" s="4" t="inlineStr">
        <is>
          <t>DIAS ÚTEIS:</t>
        </is>
      </c>
      <c r="K8" s="5" t="n"/>
      <c r="L8" s="304">
        <f>COUNTIF(A14:A43,"U")</f>
        <v/>
      </c>
      <c r="M8" s="305" t="n"/>
      <c r="N8" s="306" t="n"/>
    </row>
    <row r="9" ht="16.5" customHeight="1">
      <c r="A9" s="2" t="inlineStr">
        <is>
          <t>EMPRESA:</t>
        </is>
      </c>
      <c r="B9" s="3" t="n"/>
      <c r="C9" s="129">
        <f>JAN!C9:I9</f>
        <v/>
      </c>
      <c r="D9" s="297" t="n"/>
      <c r="E9" s="297" t="n"/>
      <c r="F9" s="297" t="n"/>
      <c r="G9" s="297" t="n"/>
      <c r="H9" s="297" t="n"/>
      <c r="I9" s="298" t="n"/>
      <c r="J9" s="4" t="inlineStr">
        <is>
          <t>CNPJ:</t>
        </is>
      </c>
      <c r="K9" s="307">
        <f>JAN!K9:L9</f>
        <v/>
      </c>
      <c r="L9" s="296" t="n"/>
      <c r="M9" s="38" t="inlineStr">
        <is>
          <t>EXERCÍCIO:</t>
        </is>
      </c>
      <c r="N9" s="42" t="n">
        <v>2021</v>
      </c>
      <c r="P9" t="inlineStr">
        <is>
          <t>U: DIA ÚTIL</t>
        </is>
      </c>
    </row>
    <row r="10" ht="16.5" customHeight="1">
      <c r="A10" s="2" t="inlineStr">
        <is>
          <t>LOCALIZAÇÃO:</t>
        </is>
      </c>
      <c r="B10" s="3" t="n"/>
      <c r="C10" s="203">
        <f>JAN!C10:I10</f>
        <v/>
      </c>
      <c r="D10" s="297" t="n"/>
      <c r="E10" s="297" t="n"/>
      <c r="F10" s="297" t="n"/>
      <c r="G10" s="297" t="n"/>
      <c r="H10" s="297" t="n"/>
      <c r="I10" s="298" t="n"/>
      <c r="J10" s="308" t="inlineStr">
        <is>
          <t>NÚMERO FUNCIONAL:</t>
        </is>
      </c>
      <c r="K10" s="296" t="n"/>
      <c r="L10" s="43">
        <f>JAN!L10</f>
        <v/>
      </c>
      <c r="M10" s="37" t="inlineStr">
        <is>
          <t>VÍNCULO:</t>
        </is>
      </c>
      <c r="N10" s="44">
        <f>JAN!N10</f>
        <v/>
      </c>
      <c r="P10" t="inlineStr">
        <is>
          <t>F: SÁBADOS; DOMINGOS E FERIADOS</t>
        </is>
      </c>
    </row>
    <row r="11" ht="16.5" customHeight="1" thickBot="1">
      <c r="A11" s="309" t="inlineStr">
        <is>
          <t>REGIME JURÍDICO:</t>
        </is>
      </c>
      <c r="B11" s="310" t="n"/>
      <c r="C11" s="311">
        <f>JAN!C11:E11</f>
        <v/>
      </c>
      <c r="D11" s="312" t="n"/>
      <c r="E11" s="313" t="n"/>
      <c r="F11" s="314" t="inlineStr">
        <is>
          <t>ÓRGÃO DE EXERCÍCIO:</t>
        </is>
      </c>
      <c r="G11" s="315" t="n"/>
      <c r="H11" s="310" t="n"/>
      <c r="I11" s="316" t="inlineStr">
        <is>
          <t>Secretaria de Estado da Educação</t>
        </is>
      </c>
      <c r="J11" s="312" t="n"/>
      <c r="K11" s="312" t="n"/>
      <c r="L11" s="312" t="n"/>
      <c r="M11" s="312" t="n"/>
      <c r="N11" s="317" t="n"/>
    </row>
    <row r="12" ht="39" customHeight="1" thickBot="1">
      <c r="A12" s="168" t="inlineStr">
        <is>
          <t>DIAS DA SEMANA</t>
        </is>
      </c>
      <c r="E12" s="287" t="n"/>
      <c r="F12" s="170" t="inlineStr">
        <is>
          <t>1º TURNO</t>
        </is>
      </c>
      <c r="G12" s="318" t="n"/>
      <c r="H12" s="170" t="inlineStr">
        <is>
          <t>2º TURNO</t>
        </is>
      </c>
      <c r="I12" s="318" t="n"/>
      <c r="J12" s="170" t="inlineStr">
        <is>
          <t>3º TURNO</t>
        </is>
      </c>
      <c r="K12" s="318" t="n"/>
      <c r="L12" s="6" t="inlineStr">
        <is>
          <t xml:space="preserve">HORAS TRABALHADAS </t>
        </is>
      </c>
      <c r="M12" s="6" t="inlineStr">
        <is>
          <t>CH PADRÃO</t>
        </is>
      </c>
      <c r="N12" s="6" t="inlineStr">
        <is>
          <t xml:space="preserve">SALDO </t>
        </is>
      </c>
      <c r="O12" s="47" t="n"/>
      <c r="P12" s="173" t="inlineStr">
        <is>
          <t>saldo acumulado até hoje</t>
        </is>
      </c>
      <c r="Q12" s="47" t="n"/>
      <c r="R12" s="319">
        <f>SUM(U14:U44)+SUM(FEV!U44)+SUM(MAR!U14:U44)+SUM(ABR!U14:U44)+SUM(MAIO!U14:U44)+SUM(JUN!U14:U44)+SUM(JUL!U14:U44)+SUM(AGO!U14:U44)+SUM(SET!U14:U44)+SUM(OUT!U14:U44)+SUM(NOV!U14:U44)+SUM(DEZ!U14:U44)</f>
        <v/>
      </c>
      <c r="S12" s="320" t="n"/>
      <c r="U12" s="66">
        <f>TODAY()</f>
        <v/>
      </c>
    </row>
    <row r="13" ht="26.25" customHeight="1" thickBot="1">
      <c r="A13" s="321" t="n"/>
      <c r="B13" s="322" t="n"/>
      <c r="C13" s="322" t="n"/>
      <c r="D13" s="322" t="n"/>
      <c r="E13" s="318" t="n"/>
      <c r="F13" s="7" t="inlineStr">
        <is>
          <t>ENTRADA MANHÃ</t>
        </is>
      </c>
      <c r="G13" s="7" t="inlineStr">
        <is>
          <t>SAÍDA MANHÃ</t>
        </is>
      </c>
      <c r="H13" s="7" t="inlineStr">
        <is>
          <t>ENTRADA TARDE</t>
        </is>
      </c>
      <c r="I13" s="7" t="inlineStr">
        <is>
          <t>SAÍDA DA TARDE</t>
        </is>
      </c>
      <c r="J13" s="7" t="inlineStr">
        <is>
          <t>ENTRADA EXTRA</t>
        </is>
      </c>
      <c r="K13" s="7" t="inlineStr">
        <is>
          <t>SAÍDA EXTRA</t>
        </is>
      </c>
      <c r="L13" s="8" t="inlineStr">
        <is>
          <t>POR DIA</t>
        </is>
      </c>
      <c r="M13" s="8" t="inlineStr">
        <is>
          <t>DIÁRIA</t>
        </is>
      </c>
      <c r="N13" s="8" t="inlineStr">
        <is>
          <t>DIÁRIO</t>
        </is>
      </c>
      <c r="O13" s="47" t="n"/>
    </row>
    <row r="14" ht="16.5" customHeight="1" thickBot="1">
      <c r="A14" s="17" t="inlineStr">
        <is>
          <t>F</t>
        </is>
      </c>
      <c r="B14" s="45">
        <f>K6</f>
        <v/>
      </c>
      <c r="C14" s="390">
        <f>WEEKDAY(B14)+1</f>
        <v/>
      </c>
      <c r="D14" s="351" t="n"/>
      <c r="E14" s="291" t="n"/>
      <c r="F14" s="391" t="n">
        <v>0</v>
      </c>
      <c r="G14" s="391" t="n">
        <v>0</v>
      </c>
      <c r="H14" s="391" t="n">
        <v>0</v>
      </c>
      <c r="I14" s="391" t="n">
        <v>0</v>
      </c>
      <c r="J14" s="392" t="n"/>
      <c r="K14" s="328" t="n"/>
      <c r="L14" s="329">
        <f>IF(A14="U",(G14-F14)+(I14-H14)+(K14-J14),"NÃO ÚTIL")</f>
        <v/>
      </c>
      <c r="M14" s="330">
        <f>IF(A14="U",L7,"NÃO ÚTIL")</f>
        <v/>
      </c>
      <c r="N14" s="331" t="n">
        <v>0</v>
      </c>
      <c r="O14" s="47" t="n"/>
      <c r="P14" s="332">
        <f>IF(N14="não útil",0,N14)</f>
        <v/>
      </c>
      <c r="Q14" s="332">
        <f>P14</f>
        <v/>
      </c>
      <c r="R14" s="332">
        <f>Q14+$Q$4</f>
        <v/>
      </c>
      <c r="S14" s="47">
        <f>IF(B14=T14,"HOJE",".")</f>
        <v/>
      </c>
      <c r="T14" s="62">
        <f>TODAY()</f>
        <v/>
      </c>
      <c r="U14" s="332">
        <f>IF(S14="HOJE",R14,0)</f>
        <v/>
      </c>
      <c r="V14" s="47" t="n"/>
    </row>
    <row r="15" ht="16.5" customHeight="1" thickBot="1">
      <c r="A15" s="17" t="inlineStr">
        <is>
          <t>F</t>
        </is>
      </c>
      <c r="B15" s="46">
        <f>B14+1</f>
        <v/>
      </c>
      <c r="C15" s="393">
        <f>WEEKDAY(B15)+1</f>
        <v/>
      </c>
      <c r="D15" s="305" t="n"/>
      <c r="E15" s="296" t="n"/>
      <c r="F15" s="391" t="n">
        <v>0</v>
      </c>
      <c r="G15" s="391" t="n">
        <v>0</v>
      </c>
      <c r="H15" s="391" t="n">
        <v>0</v>
      </c>
      <c r="I15" s="391" t="n">
        <v>0</v>
      </c>
      <c r="J15" s="376" t="n"/>
      <c r="K15" s="336" t="n"/>
      <c r="L15" s="329">
        <f>IF(A15="U",(G15-F15)+(I15-H15)+(K15-J15),"NÃO ÚTIL")</f>
        <v/>
      </c>
      <c r="M15" s="330">
        <f>IF(A15="U",L7,"NÃO ÚTIL")</f>
        <v/>
      </c>
      <c r="N15" s="331">
        <f>IF(A15="U",(L15-M15),"NÃO ÚTIL")</f>
        <v/>
      </c>
      <c r="O15" s="337" t="n"/>
      <c r="P15" s="332">
        <f>IF(N15="não útil",0,N15)</f>
        <v/>
      </c>
      <c r="Q15" s="337">
        <f>P15+Q14</f>
        <v/>
      </c>
      <c r="R15" s="332">
        <f>Q15+$Q$4</f>
        <v/>
      </c>
      <c r="S15" s="47">
        <f>IF(B15=T15,"HOJE",".")</f>
        <v/>
      </c>
      <c r="T15" s="62">
        <f>TODAY()</f>
        <v/>
      </c>
      <c r="U15" s="332">
        <f>IF(S15="HOJE",R15,0)</f>
        <v/>
      </c>
      <c r="V15" s="47" t="n"/>
    </row>
    <row r="16" ht="16.5" customHeight="1" thickBot="1">
      <c r="A16" s="17">
        <f>IF(OR(C16=2,C16=8),"F","U")</f>
        <v/>
      </c>
      <c r="B16" s="46">
        <f>B15+1</f>
        <v/>
      </c>
      <c r="C16" s="393">
        <f>WEEKDAY(B16)+1</f>
        <v/>
      </c>
      <c r="D16" s="305" t="n"/>
      <c r="E16" s="296" t="n"/>
      <c r="F16" s="391" t="n">
        <v>0</v>
      </c>
      <c r="G16" s="391" t="n">
        <v>0</v>
      </c>
      <c r="H16" s="391" t="n">
        <v>0</v>
      </c>
      <c r="I16" s="391" t="n">
        <v>0</v>
      </c>
      <c r="J16" s="377" t="n"/>
      <c r="K16" s="339" t="n"/>
      <c r="L16" s="329">
        <f>IF(A16="U",(G16-F16)+(I16-H16)+(K16-J16),"NÃO ÚTIL")</f>
        <v/>
      </c>
      <c r="M16" s="330">
        <f>IF(A16="U",L7,"NÃO ÚTIL")</f>
        <v/>
      </c>
      <c r="N16" s="331">
        <f>IF(A16="U",(L16-M16),"NÃO ÚTIL")</f>
        <v/>
      </c>
      <c r="O16" s="337" t="n"/>
      <c r="P16" s="332">
        <f>IF(N16="não útil",0,N16)</f>
        <v/>
      </c>
      <c r="Q16" s="337">
        <f>P16+Q15</f>
        <v/>
      </c>
      <c r="R16" s="332">
        <f>Q16+$Q$4</f>
        <v/>
      </c>
      <c r="S16" s="47">
        <f>IF(B16=T16,"HOJE",".")</f>
        <v/>
      </c>
      <c r="T16" s="62">
        <f>TODAY()</f>
        <v/>
      </c>
      <c r="U16" s="332">
        <f>IF(S16="HOJE",R16,0)</f>
        <v/>
      </c>
      <c r="V16" s="47" t="n"/>
    </row>
    <row r="17" ht="16.5" customHeight="1" thickBot="1">
      <c r="A17" s="17" t="inlineStr">
        <is>
          <t>U</t>
        </is>
      </c>
      <c r="B17" s="46">
        <f>B16+1</f>
        <v/>
      </c>
      <c r="C17" s="393">
        <f>WEEKDAY(B17)+1</f>
        <v/>
      </c>
      <c r="D17" s="305" t="n"/>
      <c r="E17" s="296" t="n"/>
      <c r="F17" s="391" t="n">
        <v>0</v>
      </c>
      <c r="G17" s="391" t="n">
        <v>0</v>
      </c>
      <c r="H17" s="391" t="n">
        <v>0</v>
      </c>
      <c r="I17" s="391" t="n">
        <v>0</v>
      </c>
      <c r="J17" s="378" t="n"/>
      <c r="K17" s="341" t="n"/>
      <c r="L17" s="329">
        <f>IF(A17="U",(G17-F17)+(I17-H17)+(K17-J17),"NÃO ÚTIL")</f>
        <v/>
      </c>
      <c r="M17" s="330">
        <f>IF(A17="U",L7,"NÃO ÚTIL")</f>
        <v/>
      </c>
      <c r="N17" s="331">
        <f>IF(A17="U",(L17-M17),"NÃO ÚTIL")</f>
        <v/>
      </c>
      <c r="O17" s="47" t="n"/>
      <c r="P17" s="332">
        <f>IF(N17="não útil",0,N17)</f>
        <v/>
      </c>
      <c r="Q17" s="337">
        <f>P17+Q16</f>
        <v/>
      </c>
      <c r="R17" s="332">
        <f>Q17+$Q$4</f>
        <v/>
      </c>
      <c r="S17" s="47">
        <f>IF(B17=T17,"HOJE",".")</f>
        <v/>
      </c>
      <c r="T17" s="62">
        <f>TODAY()</f>
        <v/>
      </c>
      <c r="U17" s="332">
        <f>IF(S17="HOJE",R17,0)</f>
        <v/>
      </c>
      <c r="V17" s="47" t="n"/>
    </row>
    <row r="18" ht="16.5" customHeight="1" thickBot="1">
      <c r="A18" s="17" t="inlineStr">
        <is>
          <t>F</t>
        </is>
      </c>
      <c r="B18" s="46">
        <f>B17+1</f>
        <v/>
      </c>
      <c r="C18" s="393">
        <f>WEEKDAY(B18)+1</f>
        <v/>
      </c>
      <c r="D18" s="305" t="n"/>
      <c r="E18" s="296" t="n"/>
      <c r="F18" s="391" t="n">
        <v>0</v>
      </c>
      <c r="G18" s="391" t="n">
        <v>0</v>
      </c>
      <c r="H18" s="391" t="n">
        <v>0</v>
      </c>
      <c r="I18" s="391" t="n">
        <v>0</v>
      </c>
      <c r="J18" s="377" t="n"/>
      <c r="K18" s="339" t="n"/>
      <c r="L18" s="329">
        <f>IF(A18="U",(G18-F18)+(I18-H18)+(K18-J18),"NÃO ÚTIL")</f>
        <v/>
      </c>
      <c r="M18" s="330">
        <f>IF(A18="U",L7,"NÃO ÚTIL")</f>
        <v/>
      </c>
      <c r="N18" s="331">
        <f>IF(A18="U",(L18-M18),"NÃO ÚTIL")</f>
        <v/>
      </c>
      <c r="O18" s="47" t="n"/>
      <c r="P18" s="332">
        <f>IF(N18="não útil",0,N18)</f>
        <v/>
      </c>
      <c r="Q18" s="337">
        <f>P18+Q17</f>
        <v/>
      </c>
      <c r="R18" s="332">
        <f>Q18+$Q$4</f>
        <v/>
      </c>
      <c r="S18" s="47">
        <f>IF(B18=T18,"HOJE",".")</f>
        <v/>
      </c>
      <c r="T18" s="62">
        <f>TODAY()</f>
        <v/>
      </c>
      <c r="U18" s="332">
        <f>IF(S18="HOJE",R18,0)</f>
        <v/>
      </c>
      <c r="V18" s="47" t="n"/>
    </row>
    <row r="19" ht="16.5" customHeight="1" thickBot="1">
      <c r="A19" s="17" t="inlineStr">
        <is>
          <t>F</t>
        </is>
      </c>
      <c r="B19" s="46">
        <f>B18+1</f>
        <v/>
      </c>
      <c r="C19" s="393">
        <f>WEEKDAY(B19)+1</f>
        <v/>
      </c>
      <c r="D19" s="305" t="n"/>
      <c r="E19" s="296" t="n"/>
      <c r="F19" s="391" t="n">
        <v>0</v>
      </c>
      <c r="G19" s="391" t="n">
        <v>0</v>
      </c>
      <c r="H19" s="391" t="n">
        <v>0</v>
      </c>
      <c r="I19" s="391" t="n">
        <v>0</v>
      </c>
      <c r="J19" s="376" t="n"/>
      <c r="K19" s="336" t="n"/>
      <c r="L19" s="329">
        <f>IF(A19="U",(G19-F19)+(I19-H19)+(K19-J19),"NÃO ÚTIL")</f>
        <v/>
      </c>
      <c r="M19" s="330">
        <f>IF(A19="U",L7,"NÃO ÚTIL")</f>
        <v/>
      </c>
      <c r="N19" s="331">
        <f>IF(A19="U",(L19-M19),"NÃO ÚTIL")</f>
        <v/>
      </c>
      <c r="O19" s="47" t="n"/>
      <c r="P19" s="332">
        <f>IF(N19="não útil",0,N19)</f>
        <v/>
      </c>
      <c r="Q19" s="337">
        <f>P19+Q18</f>
        <v/>
      </c>
      <c r="R19" s="332">
        <f>Q19+$Q$4</f>
        <v/>
      </c>
      <c r="S19" s="47">
        <f>IF(B19=T19,"HOJE",".")</f>
        <v/>
      </c>
      <c r="T19" s="62">
        <f>TODAY()</f>
        <v/>
      </c>
      <c r="U19" s="332">
        <f>IF(S19="HOJE",R19,0)</f>
        <v/>
      </c>
      <c r="V19" s="47" t="n"/>
    </row>
    <row r="20" ht="16.5" customHeight="1" thickBot="1">
      <c r="A20" s="17">
        <f>IF(OR(C20=2,C20=8),"F","U")</f>
        <v/>
      </c>
      <c r="B20" s="46">
        <f>B19+1</f>
        <v/>
      </c>
      <c r="C20" s="393">
        <f>WEEKDAY(B20)+1</f>
        <v/>
      </c>
      <c r="D20" s="305" t="n"/>
      <c r="E20" s="296" t="n"/>
      <c r="F20" s="391" t="n">
        <v>0</v>
      </c>
      <c r="G20" s="391" t="n">
        <v>0</v>
      </c>
      <c r="H20" s="391" t="n">
        <v>0</v>
      </c>
      <c r="I20" s="391" t="n">
        <v>0</v>
      </c>
      <c r="J20" s="376" t="n"/>
      <c r="K20" s="336" t="n"/>
      <c r="L20" s="329">
        <f>IF(A20="U",(G20-F20)+(I20-H20)+(K20-J20),"NÃO ÚTIL")</f>
        <v/>
      </c>
      <c r="M20" s="330">
        <f>IF(A20="U",L7,"NÃO ÚTIL")</f>
        <v/>
      </c>
      <c r="N20" s="331">
        <f>IF(A20="U",(L20-M20),"NÃO ÚTIL")</f>
        <v/>
      </c>
      <c r="O20" s="47" t="n"/>
      <c r="P20" s="332">
        <f>IF(N20="não útil",0,N20)</f>
        <v/>
      </c>
      <c r="Q20" s="337">
        <f>P20+Q19</f>
        <v/>
      </c>
      <c r="R20" s="332">
        <f>Q20+$Q$4</f>
        <v/>
      </c>
      <c r="S20" s="47">
        <f>IF(B20=T20,"HOJE",".")</f>
        <v/>
      </c>
      <c r="T20" s="62">
        <f>TODAY()</f>
        <v/>
      </c>
      <c r="U20" s="332">
        <f>IF(S20="HOJE",R20,0)</f>
        <v/>
      </c>
      <c r="V20" s="47" t="n"/>
    </row>
    <row r="21" ht="16.5" customHeight="1" thickBot="1">
      <c r="A21" s="17">
        <f>IF(OR(C21=2,C21=8),"F","U")</f>
        <v/>
      </c>
      <c r="B21" s="46">
        <f>B20+1</f>
        <v/>
      </c>
      <c r="C21" s="393">
        <f>WEEKDAY(B21)+1</f>
        <v/>
      </c>
      <c r="D21" s="305" t="n"/>
      <c r="E21" s="296" t="n"/>
      <c r="F21" s="391" t="n">
        <v>0</v>
      </c>
      <c r="G21" s="391" t="n">
        <v>0</v>
      </c>
      <c r="H21" s="391" t="n">
        <v>0</v>
      </c>
      <c r="I21" s="391" t="n">
        <v>0</v>
      </c>
      <c r="J21" s="378" t="n"/>
      <c r="K21" s="341" t="n"/>
      <c r="L21" s="329">
        <f>IF(A21="U",(G21-F21)+(I21-H21)+(K21-J21),"NÃO ÚTIL")</f>
        <v/>
      </c>
      <c r="M21" s="330">
        <f>IF(A21="U",L7,"NÃO ÚTIL")</f>
        <v/>
      </c>
      <c r="N21" s="331">
        <f>IF(A21="U",(L21-M21),"NÃO ÚTIL")</f>
        <v/>
      </c>
      <c r="O21" s="47" t="n"/>
      <c r="P21" s="332">
        <f>IF(N21="não útil",0,N21)</f>
        <v/>
      </c>
      <c r="Q21" s="337">
        <f>P21+Q20</f>
        <v/>
      </c>
      <c r="R21" s="332">
        <f>Q21+$Q$4</f>
        <v/>
      </c>
      <c r="S21" s="47">
        <f>IF(B21=T21,"HOJE",".")</f>
        <v/>
      </c>
      <c r="T21" s="62">
        <f>TODAY()</f>
        <v/>
      </c>
      <c r="U21" s="332">
        <f>IF(S21="HOJE",R21,0)</f>
        <v/>
      </c>
      <c r="V21" s="47" t="n"/>
    </row>
    <row r="22" ht="16.5" customHeight="1" thickBot="1">
      <c r="A22" s="17">
        <f>IF(OR(C22=2,C22=8),"F","U")</f>
        <v/>
      </c>
      <c r="B22" s="46">
        <f>B21+1</f>
        <v/>
      </c>
      <c r="C22" s="393">
        <f>WEEKDAY(B22)+1</f>
        <v/>
      </c>
      <c r="D22" s="305" t="n"/>
      <c r="E22" s="296" t="n"/>
      <c r="F22" s="391" t="n">
        <v>0</v>
      </c>
      <c r="G22" s="391" t="n">
        <v>0</v>
      </c>
      <c r="H22" s="391" t="n">
        <v>0</v>
      </c>
      <c r="I22" s="391" t="n">
        <v>0</v>
      </c>
      <c r="J22" s="377" t="n"/>
      <c r="K22" s="339" t="n"/>
      <c r="L22" s="329">
        <f>IF(A22="U",(G22-F22)+(I22-H22)+(K22-J22),"NÃO ÚTIL")</f>
        <v/>
      </c>
      <c r="M22" s="330">
        <f>IF(A22="U",L7,"NÃO ÚTIL")</f>
        <v/>
      </c>
      <c r="N22" s="331">
        <f>IF(A22="U",(L22-M22),"NÃO ÚTIL")</f>
        <v/>
      </c>
      <c r="O22" s="47" t="n"/>
      <c r="P22" s="332">
        <f>IF(N22="não útil",0,N22)</f>
        <v/>
      </c>
      <c r="Q22" s="337">
        <f>P22+Q21</f>
        <v/>
      </c>
      <c r="R22" s="332">
        <f>Q22+$Q$4</f>
        <v/>
      </c>
      <c r="S22" s="47">
        <f>IF(B22=T22,"HOJE",".")</f>
        <v/>
      </c>
      <c r="T22" s="62">
        <f>TODAY()</f>
        <v/>
      </c>
      <c r="U22" s="332">
        <f>IF(S22="HOJE",R22,0)</f>
        <v/>
      </c>
      <c r="V22" s="47" t="n"/>
    </row>
    <row r="23" ht="16.5" customHeight="1" thickBot="1">
      <c r="A23" s="17">
        <f>IF(OR(C23=2,C23=8),"F","U")</f>
        <v/>
      </c>
      <c r="B23" s="46">
        <f>B22+1</f>
        <v/>
      </c>
      <c r="C23" s="393">
        <f>WEEKDAY(B23)+1</f>
        <v/>
      </c>
      <c r="D23" s="305" t="n"/>
      <c r="E23" s="296" t="n"/>
      <c r="F23" s="391" t="n">
        <v>0</v>
      </c>
      <c r="G23" s="391" t="n">
        <v>0</v>
      </c>
      <c r="H23" s="391" t="n">
        <v>0</v>
      </c>
      <c r="I23" s="391" t="n">
        <v>0</v>
      </c>
      <c r="J23" s="376" t="n"/>
      <c r="K23" s="336" t="n"/>
      <c r="L23" s="329">
        <f>IF(A23="U",(G23-F23)+(I23-H23)+(K23-J23),"NÃO ÚTIL")</f>
        <v/>
      </c>
      <c r="M23" s="330">
        <f>IF(A23="U",L7,"NÃO ÚTIL")</f>
        <v/>
      </c>
      <c r="N23" s="331">
        <f>IF(A23="U",(L23-M23),"NÃO ÚTIL")</f>
        <v/>
      </c>
      <c r="O23" s="47" t="n"/>
      <c r="P23" s="332">
        <f>IF(N23="não útil",0,N23)</f>
        <v/>
      </c>
      <c r="Q23" s="337">
        <f>P23+Q22</f>
        <v/>
      </c>
      <c r="R23" s="332">
        <f>Q23+$Q$4</f>
        <v/>
      </c>
      <c r="S23" s="47">
        <f>IF(B23=T23,"HOJE",".")</f>
        <v/>
      </c>
      <c r="T23" s="62">
        <f>TODAY()</f>
        <v/>
      </c>
      <c r="U23" s="332">
        <f>IF(S23="HOJE",R23,0)</f>
        <v/>
      </c>
      <c r="V23" s="47" t="n"/>
    </row>
    <row r="24" ht="16.5" customHeight="1" thickBot="1">
      <c r="A24" s="17">
        <f>IF(OR(C24=2,C24=8),"F","U")</f>
        <v/>
      </c>
      <c r="B24" s="46">
        <f>B23+1</f>
        <v/>
      </c>
      <c r="C24" s="393">
        <f>WEEKDAY(B24)+1</f>
        <v/>
      </c>
      <c r="D24" s="305" t="n"/>
      <c r="E24" s="296" t="n"/>
      <c r="F24" s="391" t="n">
        <v>0</v>
      </c>
      <c r="G24" s="391" t="n">
        <v>0</v>
      </c>
      <c r="H24" s="391" t="n">
        <v>0</v>
      </c>
      <c r="I24" s="391" t="n">
        <v>0</v>
      </c>
      <c r="J24" s="377" t="n"/>
      <c r="K24" s="339" t="n"/>
      <c r="L24" s="329">
        <f>IF(A24="U",(G24-F24)+(I24-H24)+(K24-J24),"NÃO ÚTIL")</f>
        <v/>
      </c>
      <c r="M24" s="330">
        <f>IF(A24="U",L7,"NÃO ÚTIL")</f>
        <v/>
      </c>
      <c r="N24" s="331">
        <f>IF(A24="U",(L24-M24),"NÃO ÚTIL")</f>
        <v/>
      </c>
      <c r="O24" s="47" t="n"/>
      <c r="P24" s="332">
        <f>IF(N24="não útil",0,N24)</f>
        <v/>
      </c>
      <c r="Q24" s="337">
        <f>P24+Q23</f>
        <v/>
      </c>
      <c r="R24" s="332">
        <f>Q24+$Q$4</f>
        <v/>
      </c>
      <c r="S24" s="47">
        <f>IF(B24=T24,"HOJE",".")</f>
        <v/>
      </c>
      <c r="T24" s="62">
        <f>TODAY()</f>
        <v/>
      </c>
      <c r="U24" s="332">
        <f>IF(S24="HOJE",R24,0)</f>
        <v/>
      </c>
      <c r="V24" s="47" t="n"/>
    </row>
    <row r="25" ht="16.5" customHeight="1" thickBot="1">
      <c r="A25" s="17">
        <f>IF(OR(C25=2,C25=8),"F","U")</f>
        <v/>
      </c>
      <c r="B25" s="46">
        <f>B24+1</f>
        <v/>
      </c>
      <c r="C25" s="393">
        <f>WEEKDAY(B25)+1</f>
        <v/>
      </c>
      <c r="D25" s="305" t="n"/>
      <c r="E25" s="296" t="n"/>
      <c r="F25" s="391" t="n">
        <v>0</v>
      </c>
      <c r="G25" s="391" t="n">
        <v>0</v>
      </c>
      <c r="H25" s="391" t="n">
        <v>0</v>
      </c>
      <c r="I25" s="391" t="n">
        <v>0</v>
      </c>
      <c r="J25" s="376" t="n"/>
      <c r="K25" s="336" t="n"/>
      <c r="L25" s="329">
        <f>IF(A25="U",(G25-F25)+(I25-H25)+(K25-J25),"NÃO ÚTIL")</f>
        <v/>
      </c>
      <c r="M25" s="330">
        <f>IF(A25="U",L7,"NÃO ÚTIL")</f>
        <v/>
      </c>
      <c r="N25" s="331">
        <f>IF(A25="U",(L25-M25),"NÃO ÚTIL")</f>
        <v/>
      </c>
      <c r="O25" s="47" t="n"/>
      <c r="P25" s="332">
        <f>IF(N25="não útil",0,N25)</f>
        <v/>
      </c>
      <c r="Q25" s="337">
        <f>P25+Q24</f>
        <v/>
      </c>
      <c r="R25" s="332">
        <f>Q25+$Q$4</f>
        <v/>
      </c>
      <c r="S25" s="47">
        <f>IF(B25=T25,"HOJE",".")</f>
        <v/>
      </c>
      <c r="T25" s="62">
        <f>TODAY()</f>
        <v/>
      </c>
      <c r="U25" s="332">
        <f>IF(S25="HOJE",R25,0)</f>
        <v/>
      </c>
      <c r="V25" s="47" t="n"/>
    </row>
    <row r="26" ht="16.5" customHeight="1" thickBot="1">
      <c r="A26" s="17">
        <f>IF(OR(C26=2,C26=8),"F","U")</f>
        <v/>
      </c>
      <c r="B26" s="46">
        <f>B25+1</f>
        <v/>
      </c>
      <c r="C26" s="393">
        <f>WEEKDAY(B26)+1</f>
        <v/>
      </c>
      <c r="D26" s="305" t="n"/>
      <c r="E26" s="296" t="n"/>
      <c r="F26" s="391" t="n">
        <v>0</v>
      </c>
      <c r="G26" s="391" t="n">
        <v>0</v>
      </c>
      <c r="H26" s="391" t="n">
        <v>0</v>
      </c>
      <c r="I26" s="391" t="n">
        <v>0</v>
      </c>
      <c r="J26" s="378" t="n"/>
      <c r="K26" s="341" t="n"/>
      <c r="L26" s="329">
        <f>IF(A26="U",(G26-F26)+(I26-H26)+(K26-J26),"NÃO ÚTIL")</f>
        <v/>
      </c>
      <c r="M26" s="330">
        <f>IF(A26="U",L7,"NÃO ÚTIL")</f>
        <v/>
      </c>
      <c r="N26" s="331">
        <f>IF(A26="U",(L26-M26),"NÃO ÚTIL")</f>
        <v/>
      </c>
      <c r="O26" s="47" t="n"/>
      <c r="P26" s="332">
        <f>IF(N26="não útil",0,N26)</f>
        <v/>
      </c>
      <c r="Q26" s="337">
        <f>P26+Q25</f>
        <v/>
      </c>
      <c r="R26" s="332">
        <f>Q26+$Q$4</f>
        <v/>
      </c>
      <c r="S26" s="47">
        <f>IF(B26=T26,"HOJE",".")</f>
        <v/>
      </c>
      <c r="T26" s="62">
        <f>TODAY()</f>
        <v/>
      </c>
      <c r="U26" s="332">
        <f>IF(S26="HOJE",R26,0)</f>
        <v/>
      </c>
      <c r="V26" s="47" t="n"/>
    </row>
    <row r="27" ht="16.5" customHeight="1" thickBot="1">
      <c r="A27" s="17">
        <f>IF(OR(C27=2,C27=8),"F","U")</f>
        <v/>
      </c>
      <c r="B27" s="46">
        <f>B26+1</f>
        <v/>
      </c>
      <c r="C27" s="393">
        <f>WEEKDAY(B27)+1</f>
        <v/>
      </c>
      <c r="D27" s="305" t="n"/>
      <c r="E27" s="296" t="n"/>
      <c r="F27" s="391" t="n">
        <v>0</v>
      </c>
      <c r="G27" s="391" t="n">
        <v>0</v>
      </c>
      <c r="H27" s="391" t="n">
        <v>0</v>
      </c>
      <c r="I27" s="391" t="n">
        <v>0</v>
      </c>
      <c r="J27" s="377" t="n"/>
      <c r="K27" s="339" t="n"/>
      <c r="L27" s="329">
        <f>IF(A27="U",(G27-F27)+(I27-H27)+(K27-J27),"NÃO ÚTIL")</f>
        <v/>
      </c>
      <c r="M27" s="330">
        <f>IF(A27="U",L7,"NÃO ÚTIL")</f>
        <v/>
      </c>
      <c r="N27" s="331">
        <f>IF(A27="U",(L27-M27),"NÃO ÚTIL")</f>
        <v/>
      </c>
      <c r="O27" s="47" t="n"/>
      <c r="P27" s="332">
        <f>IF(N27="não útil",0,N27)</f>
        <v/>
      </c>
      <c r="Q27" s="337">
        <f>P27+Q26</f>
        <v/>
      </c>
      <c r="R27" s="332">
        <f>Q27+$Q$4</f>
        <v/>
      </c>
      <c r="S27" s="47">
        <f>IF(B27=T27,"HOJE",".")</f>
        <v/>
      </c>
      <c r="T27" s="62">
        <f>TODAY()</f>
        <v/>
      </c>
      <c r="U27" s="332">
        <f>IF(S27="HOJE",R27,0)</f>
        <v/>
      </c>
      <c r="V27" s="47" t="n"/>
    </row>
    <row r="28" ht="16.5" customHeight="1" thickBot="1">
      <c r="A28" s="17">
        <f>IF(OR(C28=2,C28=8),"F","U")</f>
        <v/>
      </c>
      <c r="B28" s="46">
        <f>B27+1</f>
        <v/>
      </c>
      <c r="C28" s="393">
        <f>WEEKDAY(B28)+1</f>
        <v/>
      </c>
      <c r="D28" s="305" t="n"/>
      <c r="E28" s="296" t="n"/>
      <c r="F28" s="391" t="n">
        <v>0</v>
      </c>
      <c r="G28" s="391" t="n">
        <v>0</v>
      </c>
      <c r="H28" s="391" t="n">
        <v>0</v>
      </c>
      <c r="I28" s="391" t="n">
        <v>0</v>
      </c>
      <c r="J28" s="376" t="n"/>
      <c r="K28" s="336" t="n"/>
      <c r="L28" s="329">
        <f>IF(A28="U",(G28-F28)+(I28-H28)+(K28-J28),"NÃO ÚTIL")</f>
        <v/>
      </c>
      <c r="M28" s="330">
        <f>IF(A28="U",L7,"NÃO ÚTIL")</f>
        <v/>
      </c>
      <c r="N28" s="331">
        <f>IF(A28="U",(L28-M28),"NÃO ÚTIL")</f>
        <v/>
      </c>
      <c r="O28" s="47" t="n"/>
      <c r="P28" s="332">
        <f>IF(N28="não útil",0,N28)</f>
        <v/>
      </c>
      <c r="Q28" s="337">
        <f>P28+Q27</f>
        <v/>
      </c>
      <c r="R28" s="332">
        <f>Q28+$Q$4</f>
        <v/>
      </c>
      <c r="S28" s="47">
        <f>IF(B28=T28,"HOJE",".")</f>
        <v/>
      </c>
      <c r="T28" s="62">
        <f>TODAY()</f>
        <v/>
      </c>
      <c r="U28" s="332">
        <f>IF(S28="HOJE",R28,0)</f>
        <v/>
      </c>
      <c r="V28" s="47" t="n"/>
    </row>
    <row r="29" ht="16.5" customHeight="1" thickBot="1">
      <c r="A29" s="17">
        <f>IF(OR(C29=2,C29=8),"F","U")</f>
        <v/>
      </c>
      <c r="B29" s="46">
        <f>B28+1</f>
        <v/>
      </c>
      <c r="C29" s="393">
        <f>WEEKDAY(B29)+1</f>
        <v/>
      </c>
      <c r="D29" s="305" t="n"/>
      <c r="E29" s="296" t="n"/>
      <c r="F29" s="391" t="n">
        <v>0</v>
      </c>
      <c r="G29" s="391" t="n">
        <v>0</v>
      </c>
      <c r="H29" s="391" t="n">
        <v>0</v>
      </c>
      <c r="I29" s="391" t="n">
        <v>0</v>
      </c>
      <c r="J29" s="378" t="n"/>
      <c r="K29" s="341" t="n"/>
      <c r="L29" s="329">
        <f>IF(A29="U",(G29-F29)+(I29-H29)+(K29-J29),"NÃO ÚTIL")</f>
        <v/>
      </c>
      <c r="M29" s="330">
        <f>IF(A29="U",L7,"NÃO ÚTIL")</f>
        <v/>
      </c>
      <c r="N29" s="331">
        <f>IF(A29="U",(L29-M29),"NÃO ÚTIL")</f>
        <v/>
      </c>
      <c r="O29" s="47" t="n"/>
      <c r="P29" s="332">
        <f>IF(N29="não útil",0,N29)</f>
        <v/>
      </c>
      <c r="Q29" s="337">
        <f>P29+Q28</f>
        <v/>
      </c>
      <c r="R29" s="332">
        <f>Q29+$Q$4</f>
        <v/>
      </c>
      <c r="S29" s="47">
        <f>IF(B29=T29,"HOJE",".")</f>
        <v/>
      </c>
      <c r="T29" s="62">
        <f>TODAY()</f>
        <v/>
      </c>
      <c r="U29" s="332">
        <f>IF(S29="HOJE",R29,0)</f>
        <v/>
      </c>
      <c r="V29" s="47" t="n"/>
    </row>
    <row r="30" ht="16.5" customHeight="1" thickBot="1">
      <c r="A30" s="17">
        <f>IF(OR(C30=2,C30=8),"F","U")</f>
        <v/>
      </c>
      <c r="B30" s="46">
        <f>B29+1</f>
        <v/>
      </c>
      <c r="C30" s="393">
        <f>WEEKDAY(B30)+1</f>
        <v/>
      </c>
      <c r="D30" s="305" t="n"/>
      <c r="E30" s="296" t="n"/>
      <c r="F30" s="391" t="n">
        <v>0</v>
      </c>
      <c r="G30" s="391" t="n">
        <v>0</v>
      </c>
      <c r="H30" s="391" t="n">
        <v>0</v>
      </c>
      <c r="I30" s="391" t="n">
        <v>0</v>
      </c>
      <c r="J30" s="377" t="n"/>
      <c r="K30" s="339" t="n"/>
      <c r="L30" s="329">
        <f>IF(A30="U",(G30-F30)+(I30-H30)+(K30-J30),"NÃO ÚTIL")</f>
        <v/>
      </c>
      <c r="M30" s="330">
        <f>IF(A30="U",L7,"NÃO ÚTIL")</f>
        <v/>
      </c>
      <c r="N30" s="331">
        <f>IF(A30="U",(L30-M30),"NÃO ÚTIL")</f>
        <v/>
      </c>
      <c r="O30" s="47" t="n"/>
      <c r="P30" s="332">
        <f>IF(N30="não útil",0,N30)</f>
        <v/>
      </c>
      <c r="Q30" s="337">
        <f>P30+Q29</f>
        <v/>
      </c>
      <c r="R30" s="332">
        <f>Q30+$Q$4</f>
        <v/>
      </c>
      <c r="S30" s="47">
        <f>IF(B30=T30,"HOJE",".")</f>
        <v/>
      </c>
      <c r="T30" s="62">
        <f>TODAY()</f>
        <v/>
      </c>
      <c r="U30" s="332">
        <f>IF(S30="HOJE",R30,0)</f>
        <v/>
      </c>
      <c r="V30" s="47" t="n"/>
    </row>
    <row r="31" ht="16.5" customHeight="1" thickBot="1">
      <c r="A31" s="17">
        <f>IF(OR(C31=2,C31=8),"F","U")</f>
        <v/>
      </c>
      <c r="B31" s="46">
        <f>B30+1</f>
        <v/>
      </c>
      <c r="C31" s="393">
        <f>WEEKDAY(B31)+1</f>
        <v/>
      </c>
      <c r="D31" s="305" t="n"/>
      <c r="E31" s="296" t="n"/>
      <c r="F31" s="391" t="n">
        <v>0</v>
      </c>
      <c r="G31" s="391" t="n">
        <v>0</v>
      </c>
      <c r="H31" s="391" t="n">
        <v>0</v>
      </c>
      <c r="I31" s="391" t="n">
        <v>0</v>
      </c>
      <c r="J31" s="378" t="n"/>
      <c r="K31" s="341" t="n"/>
      <c r="L31" s="329">
        <f>IF(A31="U",(G31-F31)+(I31-H31)+(K31-J31),"NÃO ÚTIL")</f>
        <v/>
      </c>
      <c r="M31" s="330">
        <f>IF(A31="U",L7,"NÃO ÚTIL")</f>
        <v/>
      </c>
      <c r="N31" s="331">
        <f>IF(A31="U",(L31-M31),"NÃO ÚTIL")</f>
        <v/>
      </c>
      <c r="O31" s="47" t="n"/>
      <c r="P31" s="332">
        <f>IF(N31="não útil",0,N31)</f>
        <v/>
      </c>
      <c r="Q31" s="337">
        <f>P31+Q30</f>
        <v/>
      </c>
      <c r="R31" s="332">
        <f>Q31+$Q$4</f>
        <v/>
      </c>
      <c r="S31" s="47">
        <f>IF(B31=T31,"HOJE",".")</f>
        <v/>
      </c>
      <c r="T31" s="62">
        <f>TODAY()</f>
        <v/>
      </c>
      <c r="U31" s="332">
        <f>IF(S31="HOJE",R31,0)</f>
        <v/>
      </c>
      <c r="V31" s="47" t="n"/>
    </row>
    <row r="32" ht="16.5" customHeight="1" thickBot="1">
      <c r="A32" s="17">
        <f>IF(OR(C32=2,C32=8),"F","U")</f>
        <v/>
      </c>
      <c r="B32" s="46">
        <f>B31+1</f>
        <v/>
      </c>
      <c r="C32" s="393">
        <f>WEEKDAY(B32)+1</f>
        <v/>
      </c>
      <c r="D32" s="305" t="n"/>
      <c r="E32" s="296" t="n"/>
      <c r="F32" s="391" t="n">
        <v>0</v>
      </c>
      <c r="G32" s="391" t="n">
        <v>0</v>
      </c>
      <c r="H32" s="391" t="n">
        <v>0</v>
      </c>
      <c r="I32" s="391" t="n">
        <v>0</v>
      </c>
      <c r="J32" s="338" t="n"/>
      <c r="K32" s="339" t="n"/>
      <c r="L32" s="329">
        <f>IF(A32="U",(G32-F32)+(I32-H32)+(K32-J32),"NÃO ÚTIL")</f>
        <v/>
      </c>
      <c r="M32" s="330">
        <f>IF(A32="U",L7,"NÃO ÚTIL")</f>
        <v/>
      </c>
      <c r="N32" s="331">
        <f>IF(A32="U",(L32-M32),"NÃO ÚTIL")</f>
        <v/>
      </c>
      <c r="O32" s="47" t="n"/>
      <c r="P32" s="332">
        <f>IF(N32="não útil",0,N32)</f>
        <v/>
      </c>
      <c r="Q32" s="337">
        <f>P32+Q31</f>
        <v/>
      </c>
      <c r="R32" s="332">
        <f>Q32+$Q$4</f>
        <v/>
      </c>
      <c r="S32" s="47">
        <f>IF(B32=T32,"HOJE",".")</f>
        <v/>
      </c>
      <c r="T32" s="62">
        <f>TODAY()</f>
        <v/>
      </c>
      <c r="U32" s="332">
        <f>IF(S32="HOJE",R32,0)</f>
        <v/>
      </c>
      <c r="V32" s="47" t="n"/>
    </row>
    <row r="33" ht="16.5" customHeight="1" thickBot="1">
      <c r="A33" s="17">
        <f>IF(OR(C33=2,C33=8),"F","U")</f>
        <v/>
      </c>
      <c r="B33" s="46">
        <f>B32+1</f>
        <v/>
      </c>
      <c r="C33" s="393">
        <f>WEEKDAY(B33)+1</f>
        <v/>
      </c>
      <c r="D33" s="305" t="n"/>
      <c r="E33" s="296" t="n"/>
      <c r="F33" s="391" t="n">
        <v>0</v>
      </c>
      <c r="G33" s="391" t="n">
        <v>0</v>
      </c>
      <c r="H33" s="391" t="n">
        <v>0</v>
      </c>
      <c r="I33" s="391" t="n">
        <v>0</v>
      </c>
      <c r="J33" s="340" t="n"/>
      <c r="K33" s="341" t="n"/>
      <c r="L33" s="329">
        <f>IF(A33="U",(G33-F33)+(I33-H33)+(K33-J33),"NÃO ÚTIL")</f>
        <v/>
      </c>
      <c r="M33" s="330">
        <f>IF(A33="U",L7,"NÃO ÚTIL")</f>
        <v/>
      </c>
      <c r="N33" s="331">
        <f>IF(A33="U",(L33-M33),"NÃO ÚTIL")</f>
        <v/>
      </c>
      <c r="O33" s="47" t="n"/>
      <c r="P33" s="332">
        <f>IF(N33="não útil",0,N33)</f>
        <v/>
      </c>
      <c r="Q33" s="337">
        <f>P33+Q32</f>
        <v/>
      </c>
      <c r="R33" s="332">
        <f>Q33+$Q$4</f>
        <v/>
      </c>
      <c r="S33" s="47">
        <f>IF(B33=T33,"HOJE",".")</f>
        <v/>
      </c>
      <c r="T33" s="62">
        <f>TODAY()</f>
        <v/>
      </c>
      <c r="U33" s="332">
        <f>IF(S33="HOJE",R33,0)</f>
        <v/>
      </c>
      <c r="V33" s="47" t="n"/>
    </row>
    <row r="34" ht="16.5" customHeight="1" thickBot="1">
      <c r="A34" s="17">
        <f>IF(OR(C34=2,C34=8),"F","U")</f>
        <v/>
      </c>
      <c r="B34" s="46">
        <f>B33+1</f>
        <v/>
      </c>
      <c r="C34" s="393">
        <f>WEEKDAY(B34)+1</f>
        <v/>
      </c>
      <c r="D34" s="305" t="n"/>
      <c r="E34" s="296" t="n"/>
      <c r="F34" s="391" t="n">
        <v>0</v>
      </c>
      <c r="G34" s="391" t="n">
        <v>0</v>
      </c>
      <c r="H34" s="391" t="n">
        <v>0</v>
      </c>
      <c r="I34" s="391" t="n">
        <v>0</v>
      </c>
      <c r="J34" s="338" t="n"/>
      <c r="K34" s="345" t="n"/>
      <c r="L34" s="329">
        <f>IF(A34="U",(G34-F34)+(I34-H34)+(K34-J34),"NÃO ÚTIL")</f>
        <v/>
      </c>
      <c r="M34" s="330">
        <f>IF(A34="U",L7,"NÃO ÚTIL")</f>
        <v/>
      </c>
      <c r="N34" s="331">
        <f>IF(A34="U",(L34-M34),"NÃO ÚTIL")</f>
        <v/>
      </c>
      <c r="O34" s="47" t="n"/>
      <c r="P34" s="332">
        <f>IF(N34="não útil",0,N34)</f>
        <v/>
      </c>
      <c r="Q34" s="337">
        <f>P34+Q33</f>
        <v/>
      </c>
      <c r="R34" s="332">
        <f>Q34+$Q$4</f>
        <v/>
      </c>
      <c r="S34" s="47">
        <f>IF(B34=T34,"HOJE",".")</f>
        <v/>
      </c>
      <c r="T34" s="62">
        <f>TODAY()</f>
        <v/>
      </c>
      <c r="U34" s="332">
        <f>IF(S34="HOJE",R34,0)</f>
        <v/>
      </c>
      <c r="V34" s="47" t="n"/>
    </row>
    <row r="35" ht="16.5" customHeight="1" thickBot="1">
      <c r="A35" s="17">
        <f>IF(OR(C35=2,C35=8),"F","U")</f>
        <v/>
      </c>
      <c r="B35" s="46">
        <f>B34+1</f>
        <v/>
      </c>
      <c r="C35" s="393">
        <f>WEEKDAY(B35)+1</f>
        <v/>
      </c>
      <c r="D35" s="305" t="n"/>
      <c r="E35" s="296" t="n"/>
      <c r="F35" s="391" t="n">
        <v>0</v>
      </c>
      <c r="G35" s="391" t="n">
        <v>0</v>
      </c>
      <c r="H35" s="391" t="n">
        <v>0</v>
      </c>
      <c r="I35" s="391" t="n">
        <v>0</v>
      </c>
      <c r="J35" s="338" t="n"/>
      <c r="K35" s="339" t="n"/>
      <c r="L35" s="329">
        <f>IF(A35="U",(G35-F35)+(I35-H35)+(K35-J35),"NÃO ÚTIL")</f>
        <v/>
      </c>
      <c r="M35" s="330">
        <f>IF(A35="U",L7,"NÃO ÚTIL")</f>
        <v/>
      </c>
      <c r="N35" s="331">
        <f>IF(A35="U",(L35-M35),"NÃO ÚTIL")</f>
        <v/>
      </c>
      <c r="O35" s="47" t="n"/>
      <c r="P35" s="332">
        <f>IF(N35="não útil",0,N35)</f>
        <v/>
      </c>
      <c r="Q35" s="337">
        <f>P35+Q34</f>
        <v/>
      </c>
      <c r="R35" s="332">
        <f>Q35+$Q$4</f>
        <v/>
      </c>
      <c r="S35" s="47">
        <f>IF(B35=T35,"HOJE",".")</f>
        <v/>
      </c>
      <c r="T35" s="62">
        <f>TODAY()</f>
        <v/>
      </c>
      <c r="U35" s="332">
        <f>IF(S35="HOJE",R35,0)</f>
        <v/>
      </c>
      <c r="V35" s="47" t="n"/>
    </row>
    <row r="36" ht="16.5" customHeight="1" thickBot="1">
      <c r="A36" s="17">
        <f>IF(OR(C36=2,C36=8),"F","U")</f>
        <v/>
      </c>
      <c r="B36" s="46">
        <f>B35+1</f>
        <v/>
      </c>
      <c r="C36" s="393">
        <f>WEEKDAY(B36)+1</f>
        <v/>
      </c>
      <c r="D36" s="305" t="n"/>
      <c r="E36" s="296" t="n"/>
      <c r="F36" s="391" t="n">
        <v>0</v>
      </c>
      <c r="G36" s="391" t="n">
        <v>0</v>
      </c>
      <c r="H36" s="391" t="n">
        <v>0</v>
      </c>
      <c r="I36" s="391" t="n">
        <v>0</v>
      </c>
      <c r="J36" s="335" t="n"/>
      <c r="K36" s="336" t="n"/>
      <c r="L36" s="329">
        <f>IF(A36="U",(G36-F36)+(I36-H36)+(K36-J36),"NÃO ÚTIL")</f>
        <v/>
      </c>
      <c r="M36" s="330">
        <f>IF(A36="U",L7,"NÃO ÚTIL")</f>
        <v/>
      </c>
      <c r="N36" s="331">
        <f>IF(A36="U",(L36-M36),"NÃO ÚTIL")</f>
        <v/>
      </c>
      <c r="O36" s="47" t="n"/>
      <c r="P36" s="332">
        <f>IF(N36="não útil",0,N36)</f>
        <v/>
      </c>
      <c r="Q36" s="337">
        <f>P36+Q35</f>
        <v/>
      </c>
      <c r="R36" s="332">
        <f>Q36+$Q$4</f>
        <v/>
      </c>
      <c r="S36" s="47">
        <f>IF(B36=T36,"HOJE",".")</f>
        <v/>
      </c>
      <c r="T36" s="62">
        <f>TODAY()</f>
        <v/>
      </c>
      <c r="U36" s="332">
        <f>IF(S36="HOJE",R36,0)</f>
        <v/>
      </c>
      <c r="V36" s="47" t="n"/>
    </row>
    <row r="37" ht="16.5" customHeight="1" thickBot="1">
      <c r="A37" s="17">
        <f>IF(OR(C37=2,C37=8),"F","U")</f>
        <v/>
      </c>
      <c r="B37" s="46">
        <f>B36+1</f>
        <v/>
      </c>
      <c r="C37" s="393">
        <f>WEEKDAY(B37)+1</f>
        <v/>
      </c>
      <c r="D37" s="305" t="n"/>
      <c r="E37" s="296" t="n"/>
      <c r="F37" s="391" t="n">
        <v>0</v>
      </c>
      <c r="G37" s="391" t="n">
        <v>0</v>
      </c>
      <c r="H37" s="391" t="n">
        <v>0</v>
      </c>
      <c r="I37" s="391" t="n">
        <v>0</v>
      </c>
      <c r="J37" s="338" t="n"/>
      <c r="K37" s="345" t="n"/>
      <c r="L37" s="329">
        <f>IF(A37="U",(G37-F37)+(I37-H37)+(K37-J37),"NÃO ÚTIL")</f>
        <v/>
      </c>
      <c r="M37" s="330">
        <f>IF(A37="U",L7,"NÃO ÚTIL")</f>
        <v/>
      </c>
      <c r="N37" s="331">
        <f>IF(A37="U",(L37-M37),"NÃO ÚTIL")</f>
        <v/>
      </c>
      <c r="O37" s="47" t="n"/>
      <c r="P37" s="332">
        <f>IF(N37="não útil",0,N37)</f>
        <v/>
      </c>
      <c r="Q37" s="337">
        <f>P37+Q36</f>
        <v/>
      </c>
      <c r="R37" s="332">
        <f>Q37+$Q$4</f>
        <v/>
      </c>
      <c r="S37" s="47">
        <f>IF(B37=T37,"HOJE",".")</f>
        <v/>
      </c>
      <c r="T37" s="62">
        <f>TODAY()</f>
        <v/>
      </c>
      <c r="U37" s="332">
        <f>IF(S37="HOJE",R37,0)</f>
        <v/>
      </c>
      <c r="V37" s="47" t="n"/>
    </row>
    <row r="38" ht="16.5" customHeight="1" thickBot="1">
      <c r="A38" s="17">
        <f>IF(OR(C38=2,C38=8),"F","U")</f>
        <v/>
      </c>
      <c r="B38" s="46">
        <f>B37+1</f>
        <v/>
      </c>
      <c r="C38" s="393">
        <f>WEEKDAY(B38)+1</f>
        <v/>
      </c>
      <c r="D38" s="305" t="n"/>
      <c r="E38" s="296" t="n"/>
      <c r="F38" s="391" t="n">
        <v>0</v>
      </c>
      <c r="G38" s="391" t="n">
        <v>0</v>
      </c>
      <c r="H38" s="391" t="n">
        <v>0</v>
      </c>
      <c r="I38" s="391" t="n">
        <v>0</v>
      </c>
      <c r="J38" s="340" t="n"/>
      <c r="K38" s="345" t="n"/>
      <c r="L38" s="329">
        <f>IF(A38="U",(G38-F38)+(I38-H38)+(K38-J38),"NÃO ÚTIL")</f>
        <v/>
      </c>
      <c r="M38" s="330">
        <f>IF(A38="U",L7,"NÃO ÚTIL")</f>
        <v/>
      </c>
      <c r="N38" s="331">
        <f>IF(A38="U",(L38-M38),"NÃO ÚTIL")</f>
        <v/>
      </c>
      <c r="O38" s="47" t="n"/>
      <c r="P38" s="332">
        <f>IF(N38="não útil",0,N38)</f>
        <v/>
      </c>
      <c r="Q38" s="337">
        <f>P38+Q37</f>
        <v/>
      </c>
      <c r="R38" s="332">
        <f>Q38+$Q$4</f>
        <v/>
      </c>
      <c r="S38" s="47">
        <f>IF(B38=T38,"HOJE",".")</f>
        <v/>
      </c>
      <c r="T38" s="62">
        <f>TODAY()</f>
        <v/>
      </c>
      <c r="U38" s="332">
        <f>IF(S38="HOJE",R38,0)</f>
        <v/>
      </c>
      <c r="V38" s="47" t="n"/>
    </row>
    <row r="39" ht="16.5" customHeight="1" thickBot="1">
      <c r="A39" s="17">
        <f>IF(OR(C39=2,C39=8),"F","U")</f>
        <v/>
      </c>
      <c r="B39" s="46">
        <f>B38+1</f>
        <v/>
      </c>
      <c r="C39" s="393">
        <f>WEEKDAY(B39)+1</f>
        <v/>
      </c>
      <c r="D39" s="305" t="n"/>
      <c r="E39" s="296" t="n"/>
      <c r="F39" s="391" t="n">
        <v>0</v>
      </c>
      <c r="G39" s="391" t="n">
        <v>0</v>
      </c>
      <c r="H39" s="391" t="n">
        <v>0</v>
      </c>
      <c r="I39" s="391" t="n">
        <v>0</v>
      </c>
      <c r="J39" s="377" t="n"/>
      <c r="K39" s="339" t="n"/>
      <c r="L39" s="329">
        <f>IF(A39="U",(G39-F39)+(I39-H39)+(K39-J39),"NÃO ÚTIL")</f>
        <v/>
      </c>
      <c r="M39" s="330">
        <f>IF(A39="U",L7,"NÃO ÚTIL")</f>
        <v/>
      </c>
      <c r="N39" s="331">
        <f>IF(A39="U",(L39-M39),"NÃO ÚTIL")</f>
        <v/>
      </c>
      <c r="O39" s="47" t="n"/>
      <c r="P39" s="332">
        <f>IF(N39="não útil",0,N39)</f>
        <v/>
      </c>
      <c r="Q39" s="337">
        <f>P39+Q38</f>
        <v/>
      </c>
      <c r="R39" s="332">
        <f>Q39+$Q$4</f>
        <v/>
      </c>
      <c r="S39" s="47">
        <f>IF(B39=T39,"HOJE",".")</f>
        <v/>
      </c>
      <c r="T39" s="62">
        <f>TODAY()</f>
        <v/>
      </c>
      <c r="U39" s="332">
        <f>IF(S39="HOJE",R39,0)</f>
        <v/>
      </c>
      <c r="V39" s="47" t="n"/>
    </row>
    <row r="40" ht="16.5" customHeight="1" thickBot="1">
      <c r="A40" s="17">
        <f>IF(OR(C40=2,C40=8),"F","U")</f>
        <v/>
      </c>
      <c r="B40" s="46">
        <f>B39+1</f>
        <v/>
      </c>
      <c r="C40" s="393">
        <f>WEEKDAY(B40)+1</f>
        <v/>
      </c>
      <c r="D40" s="305" t="n"/>
      <c r="E40" s="296" t="n"/>
      <c r="F40" s="391" t="n">
        <v>0</v>
      </c>
      <c r="G40" s="391" t="n">
        <v>0</v>
      </c>
      <c r="H40" s="391" t="n">
        <v>0</v>
      </c>
      <c r="I40" s="391" t="n">
        <v>0</v>
      </c>
      <c r="J40" s="378" t="n"/>
      <c r="K40" s="341" t="n"/>
      <c r="L40" s="329">
        <f>IF(A40="U",(G40-F40)+(I40-H40)+(K40-J40),"NÃO ÚTIL")</f>
        <v/>
      </c>
      <c r="M40" s="330">
        <f>IF(A40="U",L7,"NÃO ÚTIL")</f>
        <v/>
      </c>
      <c r="N40" s="331">
        <f>IF(A40="U",(L40-M40),"NÃO ÚTIL")</f>
        <v/>
      </c>
      <c r="O40" s="47" t="n"/>
      <c r="P40" s="332">
        <f>IF(N40="não útil",0,N40)</f>
        <v/>
      </c>
      <c r="Q40" s="337">
        <f>P40+Q39</f>
        <v/>
      </c>
      <c r="R40" s="332">
        <f>Q40+$Q$4</f>
        <v/>
      </c>
      <c r="S40" s="47">
        <f>IF(B40=T40,"HOJE",".")</f>
        <v/>
      </c>
      <c r="T40" s="62">
        <f>TODAY()</f>
        <v/>
      </c>
      <c r="U40" s="332">
        <f>IF(S40="HOJE",R40,0)</f>
        <v/>
      </c>
      <c r="V40" s="47" t="n"/>
    </row>
    <row r="41" ht="16.5" customHeight="1" thickBot="1">
      <c r="A41" s="17">
        <f>IF(OR(C41=2,C41=8),"F","U")</f>
        <v/>
      </c>
      <c r="B41" s="46">
        <f>B40+1</f>
        <v/>
      </c>
      <c r="C41" s="393">
        <f>WEEKDAY(B41)+1</f>
        <v/>
      </c>
      <c r="D41" s="305" t="n"/>
      <c r="E41" s="296" t="n"/>
      <c r="F41" s="391" t="n">
        <v>0</v>
      </c>
      <c r="G41" s="391" t="n">
        <v>0</v>
      </c>
      <c r="H41" s="391" t="n">
        <v>0</v>
      </c>
      <c r="I41" s="391" t="n">
        <v>0</v>
      </c>
      <c r="J41" s="377" t="n"/>
      <c r="K41" s="339" t="n"/>
      <c r="L41" s="329">
        <f>IF(A41="U",(G41-F41)+(I41-H41)+(K41-J41),"NÃO ÚTIL")</f>
        <v/>
      </c>
      <c r="M41" s="330">
        <f>IF(A41="U",L7,"NÃO ÚTIL")</f>
        <v/>
      </c>
      <c r="N41" s="331">
        <f>IF(A41="U",(L41-M41),"NÃO ÚTIL")</f>
        <v/>
      </c>
      <c r="O41" s="47" t="n"/>
      <c r="P41" s="332">
        <f>IF(N41="não útil",0,N41)</f>
        <v/>
      </c>
      <c r="Q41" s="337">
        <f>P41+Q40</f>
        <v/>
      </c>
      <c r="R41" s="332">
        <f>Q41+$Q$4</f>
        <v/>
      </c>
      <c r="S41" s="47">
        <f>IF(B41=T41,"HOJE",".")</f>
        <v/>
      </c>
      <c r="T41" s="62">
        <f>TODAY()</f>
        <v/>
      </c>
      <c r="U41" s="332">
        <f>IF(S41="HOJE",R41,0)</f>
        <v/>
      </c>
      <c r="V41" s="47" t="n"/>
    </row>
    <row r="42" ht="16.5" customHeight="1" thickBot="1">
      <c r="A42" s="17" t="inlineStr">
        <is>
          <t>U</t>
        </is>
      </c>
      <c r="B42" s="46">
        <f>B41+1</f>
        <v/>
      </c>
      <c r="C42" s="393">
        <f>WEEKDAY(B42)+1</f>
        <v/>
      </c>
      <c r="D42" s="305" t="n"/>
      <c r="E42" s="296" t="n"/>
      <c r="F42" s="391" t="n">
        <v>0</v>
      </c>
      <c r="G42" s="391" t="n">
        <v>0</v>
      </c>
      <c r="H42" s="391" t="n">
        <v>0</v>
      </c>
      <c r="I42" s="391" t="n">
        <v>0</v>
      </c>
      <c r="J42" s="377" t="n"/>
      <c r="K42" s="341" t="n"/>
      <c r="L42" s="329">
        <f>IF(A42="U",(G42-F42)+(I42-H42)+(K42-J42),"NÃO ÚTIL")</f>
        <v/>
      </c>
      <c r="M42" s="330">
        <f>IF(A42="U",L7,"NÃO ÚTIL")</f>
        <v/>
      </c>
      <c r="N42" s="331">
        <f>IF(A42="U",(L42-M42),"NÃO ÚTIL")</f>
        <v/>
      </c>
      <c r="O42" s="47" t="n"/>
      <c r="P42" s="332">
        <f>IF(N42="não útil",0,N42)</f>
        <v/>
      </c>
      <c r="Q42" s="337">
        <f>P42+Q41</f>
        <v/>
      </c>
      <c r="R42" s="332">
        <f>Q42+$Q$4</f>
        <v/>
      </c>
      <c r="S42" s="47">
        <f>IF(B42=T42,"HOJE",".")</f>
        <v/>
      </c>
      <c r="T42" s="62">
        <f>TODAY()</f>
        <v/>
      </c>
      <c r="U42" s="332">
        <f>IF(S42="HOJE",R42,0)</f>
        <v/>
      </c>
      <c r="V42" s="47" t="n"/>
    </row>
    <row r="43" ht="16.5" customHeight="1" thickBot="1">
      <c r="A43" s="17" t="inlineStr">
        <is>
          <t>U</t>
        </is>
      </c>
      <c r="B43" s="46">
        <f>B42+1</f>
        <v/>
      </c>
      <c r="C43" s="393">
        <f>WEEKDAY(B43)+1</f>
        <v/>
      </c>
      <c r="D43" s="305" t="n"/>
      <c r="E43" s="296" t="n"/>
      <c r="F43" s="391" t="n">
        <v>0</v>
      </c>
      <c r="G43" s="391" t="n">
        <v>0</v>
      </c>
      <c r="H43" s="391" t="n">
        <v>0</v>
      </c>
      <c r="I43" s="391" t="n">
        <v>0</v>
      </c>
      <c r="J43" s="377" t="n"/>
      <c r="K43" s="339" t="n"/>
      <c r="L43" s="329">
        <f>IF(A43="U",(G43-F43)+(I43-H43)+(K43-J43),"NÃO ÚTIL")</f>
        <v/>
      </c>
      <c r="M43" s="330">
        <f>IF(A43="U",L7,"NÃO ÚTIL")</f>
        <v/>
      </c>
      <c r="N43" s="331">
        <f>IF(A43="U",(L43-M43),"NÃO ÚTIL")</f>
        <v/>
      </c>
      <c r="O43" s="47" t="n"/>
      <c r="P43" s="332">
        <f>IF(N43="não útil",0,N43)</f>
        <v/>
      </c>
      <c r="Q43" s="337">
        <f>P43+Q42</f>
        <v/>
      </c>
      <c r="R43" s="332">
        <f>Q43+$Q$4</f>
        <v/>
      </c>
      <c r="S43" s="47">
        <f>IF(B43=T43,"HOJE",".")</f>
        <v/>
      </c>
      <c r="T43" s="62">
        <f>TODAY()</f>
        <v/>
      </c>
      <c r="U43" s="332">
        <f>IF(S43="HOJE",R43,0)</f>
        <v/>
      </c>
      <c r="V43" s="47" t="n"/>
    </row>
    <row r="44" ht="16.5" customHeight="1" thickBot="1">
      <c r="A44" s="17">
        <f>IF(OR(C44=2,C44=8),"F","U")</f>
        <v/>
      </c>
      <c r="B44" s="46">
        <f>B43+1</f>
        <v/>
      </c>
      <c r="C44" s="393">
        <f>WEEKDAY(B44)+1</f>
        <v/>
      </c>
      <c r="D44" s="305" t="n"/>
      <c r="E44" s="296" t="n"/>
      <c r="F44" s="391" t="n">
        <v>0</v>
      </c>
      <c r="G44" s="391" t="n">
        <v>0</v>
      </c>
      <c r="H44" s="391" t="n">
        <v>0</v>
      </c>
      <c r="I44" s="391" t="n">
        <v>0</v>
      </c>
      <c r="J44" s="377" t="n"/>
      <c r="K44" s="339" t="n"/>
      <c r="L44" s="329">
        <f>IF(A44="U",(G44-F44)+(I44-H44)+(K44-J44),"NÃO ÚTIL")</f>
        <v/>
      </c>
      <c r="M44" s="330">
        <f>IF(A44="U",L7,"NÃO ÚTIL")</f>
        <v/>
      </c>
      <c r="N44" s="331">
        <f>IF(A44="U",(L44-M44),"NÃO ÚTIL")</f>
        <v/>
      </c>
      <c r="O44" s="47" t="n"/>
      <c r="P44" s="332">
        <f>IF(N44="não útil",0,N44)</f>
        <v/>
      </c>
      <c r="Q44" s="337">
        <f>P44+Q43</f>
        <v/>
      </c>
      <c r="R44" s="332">
        <f>Q44+$Q$4</f>
        <v/>
      </c>
      <c r="S44" s="47">
        <f>IF(B44=T44,"HOJE",".")</f>
        <v/>
      </c>
      <c r="T44" s="62">
        <f>TODAY()</f>
        <v/>
      </c>
      <c r="U44" s="332">
        <f>IF(S44="HOJE",R44,0)</f>
        <v/>
      </c>
      <c r="V44" s="47" t="n"/>
    </row>
    <row r="45" ht="23.25" customHeight="1" thickBot="1">
      <c r="A45" s="346" t="inlineStr">
        <is>
          <t>TOTAL MÊS:</t>
        </is>
      </c>
      <c r="B45" s="347" t="n"/>
      <c r="C45" s="347" t="n"/>
      <c r="D45" s="347" t="n"/>
      <c r="E45" s="347" t="n"/>
      <c r="F45" s="347" t="n"/>
      <c r="G45" s="347" t="n"/>
      <c r="H45" s="347" t="n"/>
      <c r="I45" s="347" t="n"/>
      <c r="J45" s="347" t="n"/>
      <c r="K45" s="348" t="n"/>
      <c r="L45" s="349">
        <f>SUM(L14:L44)</f>
        <v/>
      </c>
      <c r="M45" s="349">
        <f>SUM(M14:M44)</f>
        <v/>
      </c>
      <c r="N45" s="350">
        <f>SUM(N14:N44)</f>
        <v/>
      </c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 ht="12" customHeight="1" thickBot="1">
      <c r="A46" s="247" t="inlineStr">
        <is>
          <t>OBS:</t>
        </is>
      </c>
      <c r="B46" s="292" t="n"/>
      <c r="C46" s="160" t="n"/>
      <c r="D46" s="292" t="n"/>
      <c r="E46" s="292" t="n"/>
      <c r="F46" s="292" t="n"/>
      <c r="G46" s="292" t="n"/>
      <c r="H46" s="292" t="n"/>
      <c r="I46" s="293" t="n"/>
      <c r="J46" s="161" t="n"/>
      <c r="K46" s="347" t="n"/>
      <c r="L46" s="347" t="n"/>
      <c r="M46" s="347" t="n"/>
      <c r="N46" s="352" t="inlineStr">
        <is>
          <t>HORA (S)</t>
        </is>
      </c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 ht="12" customHeight="1" thickBot="1">
      <c r="A47" s="106" t="n"/>
      <c r="B47" s="297" t="n"/>
      <c r="C47" s="297" t="n"/>
      <c r="D47" s="297" t="n"/>
      <c r="E47" s="297" t="n"/>
      <c r="F47" s="297" t="n"/>
      <c r="G47" s="297" t="n"/>
      <c r="H47" s="297" t="n"/>
      <c r="I47" s="298" t="n"/>
      <c r="J47" s="353" t="inlineStr">
        <is>
          <t>CARGA HORÁRIA TRABAHADA (MÊS)</t>
        </is>
      </c>
      <c r="K47" s="354" t="n"/>
      <c r="L47" s="355" t="n"/>
      <c r="M47" s="356">
        <f>L45</f>
        <v/>
      </c>
      <c r="N47" s="355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 ht="12" customHeight="1" thickBot="1">
      <c r="A48" s="106" t="n"/>
      <c r="B48" s="297" t="n"/>
      <c r="C48" s="297" t="n"/>
      <c r="D48" s="297" t="n"/>
      <c r="E48" s="297" t="n"/>
      <c r="F48" s="297" t="n"/>
      <c r="G48" s="297" t="n"/>
      <c r="H48" s="297" t="n"/>
      <c r="I48" s="298" t="n"/>
      <c r="J48" s="322" t="n"/>
      <c r="K48" s="322" t="n"/>
      <c r="L48" s="318" t="n"/>
      <c r="M48" s="321" t="n"/>
      <c r="N48" s="318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12" customHeight="1" thickBot="1">
      <c r="A49" s="106" t="n"/>
      <c r="B49" s="297" t="n"/>
      <c r="C49" s="297" t="n"/>
      <c r="D49" s="297" t="n"/>
      <c r="E49" s="297" t="n"/>
      <c r="F49" s="297" t="n"/>
      <c r="G49" s="297" t="n"/>
      <c r="H49" s="297" t="n"/>
      <c r="I49" s="298" t="n"/>
      <c r="J49" s="353" t="inlineStr">
        <is>
          <t>CARGA HORÁRIA PREVISTA (MÊS)</t>
        </is>
      </c>
      <c r="K49" s="354" t="n"/>
      <c r="L49" s="355" t="n"/>
      <c r="M49" s="356">
        <f>M45</f>
        <v/>
      </c>
      <c r="N49" s="355" t="n"/>
      <c r="O49" s="47" t="n"/>
      <c r="P49" s="47" t="n"/>
      <c r="Q49" s="47" t="n"/>
      <c r="R49" s="47" t="n"/>
      <c r="S49" s="47" t="n"/>
      <c r="T49" s="47" t="n"/>
      <c r="U49" s="47" t="n"/>
      <c r="V49" s="47" t="n"/>
    </row>
    <row r="50" ht="12" customHeight="1" thickBot="1">
      <c r="A50" s="106" t="n"/>
      <c r="B50" s="297" t="n"/>
      <c r="C50" s="297" t="n"/>
      <c r="D50" s="297" t="n"/>
      <c r="E50" s="297" t="n"/>
      <c r="F50" s="297" t="n"/>
      <c r="G50" s="297" t="n"/>
      <c r="H50" s="297" t="n"/>
      <c r="I50" s="298" t="n"/>
      <c r="J50" s="322" t="n"/>
      <c r="K50" s="322" t="n"/>
      <c r="L50" s="318" t="n"/>
      <c r="M50" s="321" t="n"/>
      <c r="N50" s="318" t="n"/>
      <c r="O50" s="47" t="n"/>
      <c r="P50" s="47" t="n"/>
      <c r="Q50" s="47" t="n"/>
      <c r="R50" s="47" t="n"/>
      <c r="S50" s="47" t="n"/>
      <c r="T50" s="47" t="n"/>
      <c r="U50" s="47" t="n"/>
      <c r="V50" s="47" t="n"/>
    </row>
    <row r="51" ht="12" customHeight="1" thickBot="1">
      <c r="A51" s="106" t="n"/>
      <c r="B51" s="297" t="n"/>
      <c r="C51" s="297" t="n"/>
      <c r="D51" s="297" t="n"/>
      <c r="E51" s="297" t="n"/>
      <c r="F51" s="297" t="n"/>
      <c r="G51" s="297" t="n"/>
      <c r="H51" s="297" t="n"/>
      <c r="I51" s="298" t="n"/>
      <c r="J51" s="357" t="inlineStr">
        <is>
          <t>SALDO CARGA HORÁRIA (MÊS)</t>
        </is>
      </c>
      <c r="K51" s="354" t="n"/>
      <c r="L51" s="355" t="n"/>
      <c r="M51" s="356">
        <f>N45</f>
        <v/>
      </c>
      <c r="N51" s="355" t="n"/>
      <c r="O51" s="47" t="n"/>
      <c r="P51" s="47" t="n"/>
      <c r="Q51" s="47" t="n"/>
      <c r="R51" s="47" t="n"/>
      <c r="S51" s="47" t="n"/>
      <c r="T51" s="47" t="n"/>
      <c r="U51" s="47" t="n"/>
      <c r="V51" s="47" t="n"/>
    </row>
    <row r="52" ht="12" customHeight="1" thickBot="1">
      <c r="A52" s="106" t="n"/>
      <c r="B52" s="297" t="n"/>
      <c r="C52" s="297" t="n"/>
      <c r="D52" s="297" t="n"/>
      <c r="E52" s="297" t="n"/>
      <c r="F52" s="297" t="n"/>
      <c r="G52" s="297" t="n"/>
      <c r="H52" s="297" t="n"/>
      <c r="I52" s="298" t="n"/>
      <c r="J52" s="322" t="n"/>
      <c r="K52" s="322" t="n"/>
      <c r="L52" s="318" t="n"/>
      <c r="M52" s="321" t="n"/>
      <c r="N52" s="318" t="n"/>
      <c r="O52" s="47" t="n"/>
      <c r="P52" s="47" t="n"/>
      <c r="Q52" s="47" t="n"/>
      <c r="R52" s="47" t="n"/>
      <c r="S52" s="47" t="n"/>
      <c r="T52" s="47" t="n"/>
      <c r="U52" s="47" t="n"/>
      <c r="V52" s="47" t="n"/>
    </row>
    <row r="53" ht="12" customHeight="1">
      <c r="A53" s="106" t="n"/>
      <c r="B53" s="297" t="n"/>
      <c r="C53" s="297" t="n"/>
      <c r="D53" s="297" t="n"/>
      <c r="E53" s="297" t="n"/>
      <c r="F53" s="297" t="n"/>
      <c r="G53" s="297" t="n"/>
      <c r="H53" s="297" t="n"/>
      <c r="I53" s="298" t="n"/>
      <c r="J53" s="357" t="inlineStr">
        <is>
          <t>SALDO MÊS ANTERIOR</t>
        </is>
      </c>
      <c r="K53" s="354" t="n"/>
      <c r="L53" s="355" t="n"/>
      <c r="M53" s="356" t="n">
        <v>0</v>
      </c>
      <c r="N53" s="355" t="n"/>
      <c r="O53" s="47" t="n"/>
      <c r="P53" s="47" t="n"/>
      <c r="Q53" s="47" t="n"/>
      <c r="R53" s="47" t="n"/>
      <c r="S53" s="47" t="n"/>
      <c r="T53" s="47" t="n"/>
      <c r="U53" s="47" t="n"/>
      <c r="V53" s="47" t="n"/>
    </row>
    <row r="54" ht="12" customHeight="1" thickBot="1">
      <c r="A54" s="106" t="n"/>
      <c r="B54" s="297" t="n"/>
      <c r="C54" s="297" t="n"/>
      <c r="D54" s="297" t="n"/>
      <c r="E54" s="297" t="n"/>
      <c r="F54" s="297" t="n"/>
      <c r="G54" s="297" t="n"/>
      <c r="H54" s="297" t="n"/>
      <c r="I54" s="298" t="n"/>
      <c r="J54" s="322" t="n"/>
      <c r="K54" s="322" t="n"/>
      <c r="L54" s="318" t="n"/>
      <c r="M54" s="321" t="n"/>
      <c r="N54" s="318" t="n"/>
      <c r="O54" s="47" t="n"/>
      <c r="P54" s="47" t="n"/>
      <c r="Q54" s="47" t="n"/>
      <c r="R54" s="47" t="n"/>
      <c r="S54" s="47" t="n"/>
      <c r="T54" s="47" t="n"/>
      <c r="U54" s="47" t="n"/>
      <c r="V54" s="47" t="n"/>
    </row>
    <row r="55" ht="12" customHeight="1">
      <c r="A55" s="106" t="n"/>
      <c r="B55" s="297" t="n"/>
      <c r="C55" s="297" t="n"/>
      <c r="D55" s="297" t="n"/>
      <c r="E55" s="297" t="n"/>
      <c r="F55" s="297" t="n"/>
      <c r="G55" s="297" t="n"/>
      <c r="H55" s="297" t="n"/>
      <c r="I55" s="298" t="n"/>
      <c r="J55" s="362" t="inlineStr">
        <is>
          <t>SALDO TOTAL</t>
        </is>
      </c>
      <c r="K55" s="354" t="n"/>
      <c r="L55" s="355" t="n"/>
      <c r="M55" s="356">
        <f>SUM(M51:N54)</f>
        <v/>
      </c>
      <c r="N55" s="355" t="n"/>
      <c r="O55" s="47" t="n"/>
      <c r="P55" s="47" t="n"/>
      <c r="Q55" s="47" t="n"/>
      <c r="R55" s="47" t="n"/>
      <c r="S55" s="47" t="n"/>
      <c r="T55" s="47" t="n"/>
      <c r="U55" s="47" t="n"/>
      <c r="V55" s="47" t="n"/>
    </row>
    <row r="56" ht="12" customHeight="1" thickBot="1">
      <c r="A56" s="106" t="n"/>
      <c r="B56" s="297" t="n"/>
      <c r="C56" s="297" t="n"/>
      <c r="D56" s="297" t="n"/>
      <c r="E56" s="297" t="n"/>
      <c r="F56" s="297" t="n"/>
      <c r="G56" s="297" t="n"/>
      <c r="H56" s="297" t="n"/>
      <c r="I56" s="298" t="n"/>
      <c r="J56" s="322" t="n"/>
      <c r="K56" s="322" t="n"/>
      <c r="L56" s="318" t="n"/>
      <c r="M56" s="321" t="n"/>
      <c r="N56" s="318" t="n"/>
      <c r="O56" s="47" t="n"/>
      <c r="P56" s="47" t="n"/>
      <c r="Q56" s="47" t="n"/>
      <c r="R56" s="47" t="n"/>
      <c r="S56" s="47" t="n"/>
      <c r="T56" s="47" t="n"/>
      <c r="U56" s="47" t="n"/>
      <c r="V56" s="47" t="n"/>
    </row>
    <row r="57" ht="12" customHeight="1" thickBot="1">
      <c r="A57" s="106" t="n"/>
      <c r="B57" s="297" t="n"/>
      <c r="C57" s="297" t="n"/>
      <c r="D57" s="297" t="n"/>
      <c r="E57" s="297" t="n"/>
      <c r="F57" s="297" t="n"/>
      <c r="G57" s="297" t="n"/>
      <c r="H57" s="297" t="n"/>
      <c r="I57" s="298" t="n"/>
      <c r="J57" s="357" t="inlineStr">
        <is>
          <t>SALDO: CREDOR? DEVEDOR?</t>
        </is>
      </c>
      <c r="K57" s="354" t="n"/>
      <c r="L57" s="355" t="n"/>
      <c r="M57" s="363">
        <f>IF(M55&lt;0,"DVEEDOR","CREDOR")</f>
        <v/>
      </c>
      <c r="N57" s="355" t="n"/>
      <c r="O57" s="47" t="n"/>
      <c r="P57" s="47" t="n"/>
      <c r="Q57" s="47" t="n"/>
      <c r="R57" s="47" t="n"/>
      <c r="S57" s="47" t="n"/>
      <c r="T57" s="47" t="n"/>
      <c r="U57" s="47" t="n"/>
      <c r="V57" s="47" t="n"/>
    </row>
    <row r="58" ht="12" customHeight="1" thickBot="1">
      <c r="A58" s="106" t="n"/>
      <c r="B58" s="297" t="n"/>
      <c r="C58" s="297" t="n"/>
      <c r="D58" s="297" t="n"/>
      <c r="E58" s="297" t="n"/>
      <c r="F58" s="297" t="n"/>
      <c r="G58" s="297" t="n"/>
      <c r="H58" s="297" t="n"/>
      <c r="I58" s="298" t="n"/>
      <c r="J58" s="322" t="n"/>
      <c r="K58" s="322" t="n"/>
      <c r="L58" s="318" t="n"/>
      <c r="M58" s="321" t="n"/>
      <c r="N58" s="318" t="n"/>
      <c r="O58" s="47" t="n"/>
      <c r="P58" s="47" t="n"/>
      <c r="Q58" s="47" t="n"/>
      <c r="R58" s="47" t="n"/>
      <c r="S58" s="47" t="n"/>
      <c r="T58" s="47" t="n"/>
      <c r="U58" s="47" t="n"/>
      <c r="V58" s="47" t="n"/>
    </row>
    <row r="59" ht="12" customHeight="1">
      <c r="A59" s="106" t="n"/>
      <c r="B59" s="297" t="n"/>
      <c r="C59" s="297" t="n"/>
      <c r="D59" s="297" t="n"/>
      <c r="E59" s="297" t="n"/>
      <c r="F59" s="297" t="n"/>
      <c r="G59" s="297" t="n"/>
      <c r="H59" s="297" t="n"/>
      <c r="I59" s="298" t="n"/>
      <c r="J59" s="260" t="n"/>
      <c r="K59" s="354" t="n"/>
      <c r="L59" s="355" t="n"/>
      <c r="M59" s="364" t="n"/>
      <c r="N59" s="355" t="n"/>
      <c r="O59" s="47" t="n"/>
      <c r="P59" s="47" t="n"/>
      <c r="Q59" s="47" t="n"/>
      <c r="R59" s="47" t="n"/>
      <c r="S59" s="47" t="n"/>
      <c r="T59" s="47" t="n"/>
      <c r="U59" s="47" t="n"/>
      <c r="V59" s="47" t="n"/>
    </row>
    <row r="60" ht="12" customHeight="1" thickBot="1">
      <c r="A60" s="106" t="n"/>
      <c r="B60" s="297" t="n"/>
      <c r="C60" s="297" t="n"/>
      <c r="D60" s="297" t="n"/>
      <c r="E60" s="297" t="n"/>
      <c r="F60" s="297" t="n"/>
      <c r="G60" s="297" t="n"/>
      <c r="H60" s="297" t="n"/>
      <c r="I60" s="298" t="n"/>
      <c r="J60" s="322" t="n"/>
      <c r="K60" s="322" t="n"/>
      <c r="L60" s="318" t="n"/>
      <c r="M60" s="321" t="n"/>
      <c r="N60" s="318" t="n"/>
      <c r="O60" s="47" t="n"/>
      <c r="P60" s="47" t="n"/>
      <c r="Q60" s="47" t="n"/>
      <c r="R60" s="47" t="n"/>
      <c r="S60" s="47" t="n"/>
      <c r="T60" s="47" t="n"/>
      <c r="U60" s="47" t="n"/>
      <c r="V60" s="47" t="n"/>
    </row>
    <row r="61" ht="12" customHeight="1" thickBot="1">
      <c r="A61" s="116" t="n"/>
      <c r="B61" s="312" t="n"/>
      <c r="C61" s="312" t="n"/>
      <c r="D61" s="312" t="n"/>
      <c r="E61" s="312" t="n"/>
      <c r="F61" s="312" t="n"/>
      <c r="G61" s="312" t="n"/>
      <c r="H61" s="312" t="n"/>
      <c r="I61" s="313" t="n"/>
      <c r="J61" s="111" t="n"/>
      <c r="K61" s="322" t="n"/>
      <c r="L61" s="318" t="n"/>
      <c r="M61" s="394" t="n"/>
      <c r="N61" s="318" t="n"/>
      <c r="O61" s="47" t="n"/>
      <c r="P61" s="47" t="n"/>
      <c r="Q61" s="47" t="n"/>
      <c r="R61" s="47" t="n"/>
      <c r="S61" s="47" t="n"/>
      <c r="T61" s="47" t="n"/>
      <c r="U61" s="47" t="n"/>
      <c r="V61" s="47" t="n"/>
    </row>
    <row r="62">
      <c r="L62" s="104" t="inlineStr">
        <is>
          <t>Colaboração do Tônio</t>
        </is>
      </c>
      <c r="M62" s="354" t="n"/>
      <c r="N62" s="354" t="n"/>
      <c r="O62" s="47" t="n"/>
      <c r="P62" s="47" t="n"/>
      <c r="Q62" s="47" t="n"/>
      <c r="R62" s="47" t="n"/>
      <c r="S62" s="47" t="n"/>
      <c r="T62" s="47" t="n"/>
      <c r="U62" s="47" t="n"/>
      <c r="V62" s="47" t="n"/>
    </row>
    <row r="63">
      <c r="O63" s="47" t="n"/>
    </row>
  </sheetData>
  <mergeCells count="94">
    <mergeCell ref="C44:E44"/>
    <mergeCell ref="A12:E13"/>
    <mergeCell ref="C31:E31"/>
    <mergeCell ref="J10:K10"/>
    <mergeCell ref="C40:E40"/>
    <mergeCell ref="A56:I56"/>
    <mergeCell ref="C21:E21"/>
    <mergeCell ref="M57:N58"/>
    <mergeCell ref="A7:B7"/>
    <mergeCell ref="C23:E23"/>
    <mergeCell ref="A53:I53"/>
    <mergeCell ref="R12:S12"/>
    <mergeCell ref="J59:L60"/>
    <mergeCell ref="C18:E18"/>
    <mergeCell ref="J61:L61"/>
    <mergeCell ref="J55:L56"/>
    <mergeCell ref="M49:N50"/>
    <mergeCell ref="C34:E34"/>
    <mergeCell ref="A48:I48"/>
    <mergeCell ref="C42:E42"/>
    <mergeCell ref="A59:I59"/>
    <mergeCell ref="A61:I61"/>
    <mergeCell ref="J47:L48"/>
    <mergeCell ref="C20:E20"/>
    <mergeCell ref="C25:E25"/>
    <mergeCell ref="C8:I8"/>
    <mergeCell ref="A11:B11"/>
    <mergeCell ref="C22:E22"/>
    <mergeCell ref="L8:N8"/>
    <mergeCell ref="J51:L52"/>
    <mergeCell ref="J57:L58"/>
    <mergeCell ref="C39:E39"/>
    <mergeCell ref="A46:B46"/>
    <mergeCell ref="C32:E32"/>
    <mergeCell ref="C38:E38"/>
    <mergeCell ref="A52:I52"/>
    <mergeCell ref="A3:N3"/>
    <mergeCell ref="J49:L50"/>
    <mergeCell ref="A5:N5"/>
    <mergeCell ref="A8:B8"/>
    <mergeCell ref="C15:E15"/>
    <mergeCell ref="F11:H11"/>
    <mergeCell ref="C24:E24"/>
    <mergeCell ref="H12:I12"/>
    <mergeCell ref="C33:E33"/>
    <mergeCell ref="J12:K12"/>
    <mergeCell ref="A49:I49"/>
    <mergeCell ref="A4:N4"/>
    <mergeCell ref="M51:N52"/>
    <mergeCell ref="C26:E26"/>
    <mergeCell ref="C46:I46"/>
    <mergeCell ref="C35:E35"/>
    <mergeCell ref="C16:E16"/>
    <mergeCell ref="L62:N62"/>
    <mergeCell ref="K9:L9"/>
    <mergeCell ref="J46:M46"/>
    <mergeCell ref="C7:I7"/>
    <mergeCell ref="A55:I55"/>
    <mergeCell ref="A45:K45"/>
    <mergeCell ref="K6:N6"/>
    <mergeCell ref="C11:E11"/>
    <mergeCell ref="C36:E36"/>
    <mergeCell ref="A57:I57"/>
    <mergeCell ref="M53:N54"/>
    <mergeCell ref="M47:N48"/>
    <mergeCell ref="C28:E28"/>
    <mergeCell ref="C37:E37"/>
    <mergeCell ref="M59:N60"/>
    <mergeCell ref="A2:N2"/>
    <mergeCell ref="C10:I10"/>
    <mergeCell ref="C30:E30"/>
    <mergeCell ref="C14:E14"/>
    <mergeCell ref="C9:I9"/>
    <mergeCell ref="P12:Q12"/>
    <mergeCell ref="I11:N11"/>
    <mergeCell ref="C41:E41"/>
    <mergeCell ref="A50:I50"/>
    <mergeCell ref="C43:E43"/>
    <mergeCell ref="A6:B6"/>
    <mergeCell ref="F12:G12"/>
    <mergeCell ref="C27:E27"/>
    <mergeCell ref="A47:I47"/>
    <mergeCell ref="J53:L54"/>
    <mergeCell ref="C17:E17"/>
    <mergeCell ref="C6:I6"/>
    <mergeCell ref="C19:E19"/>
    <mergeCell ref="J7:K7"/>
    <mergeCell ref="A58:I58"/>
    <mergeCell ref="M61:N61"/>
    <mergeCell ref="M55:N56"/>
    <mergeCell ref="A51:I51"/>
    <mergeCell ref="A60:I60"/>
    <mergeCell ref="C29:E29"/>
    <mergeCell ref="A54:I54"/>
  </mergeCells>
  <conditionalFormatting sqref="A14:A44">
    <cfRule type="containsText" priority="39" operator="containsText" dxfId="25" stopIfTrue="1" text="F">
      <formula>NOT(ISERROR(SEARCH("F",A14)))</formula>
    </cfRule>
  </conditionalFormatting>
  <conditionalFormatting sqref="C14:E44">
    <cfRule type="cellIs" priority="37" operator="equal" dxfId="11" stopIfTrue="1">
      <formula>2</formula>
    </cfRule>
    <cfRule type="cellIs" priority="38" operator="equal" dxfId="11" stopIfTrue="1">
      <formula>8</formula>
    </cfRule>
  </conditionalFormatting>
  <conditionalFormatting sqref="L45">
    <cfRule type="cellIs" priority="32" operator="equal" dxfId="10" stopIfTrue="1">
      <formula>0</formula>
    </cfRule>
  </conditionalFormatting>
  <conditionalFormatting sqref="L14:M44">
    <cfRule type="cellIs" priority="34" operator="equal" dxfId="10" stopIfTrue="1">
      <formula>0</formula>
    </cfRule>
  </conditionalFormatting>
  <conditionalFormatting sqref="L14:N45">
    <cfRule type="cellIs" priority="33" operator="greaterThan" dxfId="10" stopIfTrue="1">
      <formula>0</formula>
    </cfRule>
    <cfRule type="cellIs" priority="35" operator="lessThan" dxfId="11" stopIfTrue="1">
      <formula>0</formula>
    </cfRule>
  </conditionalFormatting>
  <conditionalFormatting sqref="M47:N48">
    <cfRule type="cellIs" priority="28" operator="equal" dxfId="10" stopIfTrue="1">
      <formula>0</formula>
    </cfRule>
  </conditionalFormatting>
  <conditionalFormatting sqref="M47:N52 M53 M55 M57:N58 M59">
    <cfRule type="cellIs" priority="30" operator="greaterThan" dxfId="10" stopIfTrue="1">
      <formula>0</formula>
    </cfRule>
    <cfRule type="cellIs" priority="31" operator="lessThan" dxfId="11" stopIfTrue="1">
      <formula>0</formula>
    </cfRule>
  </conditionalFormatting>
  <conditionalFormatting sqref="M51:N52 M53 M55">
    <cfRule type="cellIs" priority="29" operator="equal" dxfId="14" stopIfTrue="1">
      <formula>0</formula>
    </cfRule>
  </conditionalFormatting>
  <conditionalFormatting sqref="M57:N58 M59">
    <cfRule type="cellIs" priority="25" operator="equal" dxfId="13" stopIfTrue="1">
      <formula>0</formula>
    </cfRule>
  </conditionalFormatting>
  <conditionalFormatting sqref="N14:N44">
    <cfRule type="cellIs" priority="36" operator="equal" dxfId="10" stopIfTrue="1">
      <formula>0</formula>
    </cfRule>
  </conditionalFormatting>
  <conditionalFormatting sqref="N14:N45">
    <cfRule type="cellIs" priority="40" operator="equal" dxfId="4" stopIfTrue="1">
      <formula>0</formula>
    </cfRule>
  </conditionalFormatting>
  <pageMargins left="0.1181102362204725" right="0.1181102362204725" top="0.5905511811023623" bottom="0.5905511811023623" header="0.3149606299212598" footer="0.3149606299212598"/>
  <pageSetup orientation="portrait" paperSize="9" scale="8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2"/>
  <sheetViews>
    <sheetView topLeftCell="A18" workbookViewId="0">
      <selection activeCell="M52" sqref="M52:N53"/>
    </sheetView>
  </sheetViews>
  <sheetFormatPr baseColWidth="8" defaultRowHeight="15"/>
  <cols>
    <col width="6.7109375" customWidth="1" min="3" max="3"/>
    <col width="7.5703125" customWidth="1" min="4" max="4"/>
    <col width="8.85546875" customWidth="1" min="10" max="10"/>
    <col width="8.42578125" customWidth="1" min="11" max="11"/>
    <col width="9.7109375" customWidth="1" min="13" max="13"/>
    <col width="8.5703125" customWidth="1" min="14" max="14"/>
    <col width="8.140625" customWidth="1" min="15" max="15"/>
    <col width="11.28515625" customWidth="1" min="16" max="16"/>
    <col width="12.140625" customWidth="1" min="19" max="19"/>
    <col hidden="1" width="12.140625" customWidth="1" min="20" max="20"/>
    <col width="12.140625" customWidth="1" min="21" max="21"/>
  </cols>
  <sheetData>
    <row r="1">
      <c r="A1" s="52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4" t="n"/>
    </row>
    <row r="2" ht="15.75" customHeight="1">
      <c r="A2" s="286" t="inlineStr">
        <is>
          <t>GOVERNO DO ESTADO DO ESPÍRITO SANTO</t>
        </is>
      </c>
      <c r="N2" s="287" t="n"/>
    </row>
    <row r="3" ht="19.5" customHeight="1">
      <c r="A3" s="286" t="inlineStr">
        <is>
          <t>SUPERINTENDÊNCIA REGIONAL DE EDUCAÇÃO DE CARAPINA</t>
        </is>
      </c>
      <c r="N3" s="287" t="n"/>
    </row>
    <row r="4" ht="25.5" customHeight="1">
      <c r="A4" s="288" t="inlineStr">
        <is>
          <t>CARTÃO DE PONTO</t>
        </is>
      </c>
      <c r="N4" s="287" t="n"/>
      <c r="Q4" s="289" t="n">
        <v>0</v>
      </c>
      <c r="R4" t="inlineStr">
        <is>
          <t>saldo anterior</t>
        </is>
      </c>
    </row>
    <row r="5" ht="6.75" customHeight="1" thickBot="1">
      <c r="A5" s="290" t="n"/>
      <c r="N5" s="287" t="n"/>
    </row>
    <row r="6" ht="15.75" customHeight="1">
      <c r="A6" s="186" t="inlineStr">
        <is>
          <t xml:space="preserve">NOME: </t>
        </is>
      </c>
      <c r="B6" s="291" t="n"/>
      <c r="C6" s="188">
        <f>JAN!C6:N11</f>
        <v/>
      </c>
      <c r="D6" s="292" t="n"/>
      <c r="E6" s="292" t="n"/>
      <c r="F6" s="292" t="n"/>
      <c r="G6" s="292" t="n"/>
      <c r="H6" s="292" t="n"/>
      <c r="I6" s="293" t="n"/>
      <c r="J6" s="1" t="inlineStr">
        <is>
          <t>MÊS:</t>
        </is>
      </c>
      <c r="K6" s="294" t="n">
        <v>43555</v>
      </c>
      <c r="L6" s="292" t="n"/>
      <c r="M6" s="292" t="n"/>
      <c r="N6" s="293" t="n"/>
    </row>
    <row r="7">
      <c r="A7" s="295" t="inlineStr">
        <is>
          <t>CARGO:</t>
        </is>
      </c>
      <c r="B7" s="296" t="n"/>
      <c r="C7" s="203">
        <f>JAN!C7:I7</f>
        <v/>
      </c>
      <c r="D7" s="297" t="n"/>
      <c r="E7" s="297" t="n"/>
      <c r="F7" s="297" t="n"/>
      <c r="G7" s="297" t="n"/>
      <c r="H7" s="297" t="n"/>
      <c r="I7" s="298" t="n"/>
      <c r="J7" s="299" t="inlineStr">
        <is>
          <t>CH DIÁRIA:</t>
        </is>
      </c>
      <c r="K7" s="296" t="n"/>
      <c r="L7" s="300">
        <f>JAN!L7</f>
        <v/>
      </c>
      <c r="M7" s="301">
        <f>JAN!M7</f>
        <v/>
      </c>
      <c r="N7" s="302">
        <f>JAN!N7</f>
        <v/>
      </c>
    </row>
    <row r="8" ht="16.5" customHeight="1">
      <c r="A8" s="295" t="inlineStr">
        <is>
          <t>FUNÇÃO:</t>
        </is>
      </c>
      <c r="B8" s="296" t="n"/>
      <c r="C8" s="303">
        <f>JAN!C8:I8</f>
        <v/>
      </c>
      <c r="D8" s="297" t="n"/>
      <c r="E8" s="297" t="n"/>
      <c r="F8" s="297" t="n"/>
      <c r="G8" s="297" t="n"/>
      <c r="H8" s="297" t="n"/>
      <c r="I8" s="298" t="n"/>
      <c r="J8" s="4" t="inlineStr">
        <is>
          <t>DIAS ÚTEIS:</t>
        </is>
      </c>
      <c r="K8" s="5" t="n"/>
      <c r="L8" s="304">
        <f>COUNTIF(A14:A43,"U")</f>
        <v/>
      </c>
      <c r="M8" s="305" t="n"/>
      <c r="N8" s="306" t="n"/>
    </row>
    <row r="9" ht="16.5" customHeight="1">
      <c r="A9" s="2" t="inlineStr">
        <is>
          <t>EMPRESA:</t>
        </is>
      </c>
      <c r="B9" s="3" t="n"/>
      <c r="C9" s="129">
        <f>JAN!C9:I9</f>
        <v/>
      </c>
      <c r="D9" s="297" t="n"/>
      <c r="E9" s="297" t="n"/>
      <c r="F9" s="297" t="n"/>
      <c r="G9" s="297" t="n"/>
      <c r="H9" s="297" t="n"/>
      <c r="I9" s="298" t="n"/>
      <c r="J9" s="4" t="inlineStr">
        <is>
          <t>CNPJ:</t>
        </is>
      </c>
      <c r="K9" s="307">
        <f>JAN!K9:L9</f>
        <v/>
      </c>
      <c r="L9" s="296" t="n"/>
      <c r="M9" s="38" t="inlineStr">
        <is>
          <t>EXERCÍCIO:</t>
        </is>
      </c>
      <c r="N9" s="42" t="n">
        <v>2021</v>
      </c>
      <c r="P9" t="inlineStr">
        <is>
          <t>U: DIA ÚTIL</t>
        </is>
      </c>
    </row>
    <row r="10" ht="16.5" customHeight="1">
      <c r="A10" s="2" t="inlineStr">
        <is>
          <t>LOCALIZAÇÃO:</t>
        </is>
      </c>
      <c r="B10" s="3" t="n"/>
      <c r="C10" s="203">
        <f>JAN!C10:I10</f>
        <v/>
      </c>
      <c r="D10" s="297" t="n"/>
      <c r="E10" s="297" t="n"/>
      <c r="F10" s="297" t="n"/>
      <c r="G10" s="297" t="n"/>
      <c r="H10" s="297" t="n"/>
      <c r="I10" s="298" t="n"/>
      <c r="J10" s="395" t="inlineStr">
        <is>
          <t>NÚMERO FUNCIONAL:</t>
        </is>
      </c>
      <c r="K10" s="296" t="n"/>
      <c r="L10" s="43">
        <f>JAN!L10</f>
        <v/>
      </c>
      <c r="M10" s="37" t="inlineStr">
        <is>
          <t>VÍNCULO:</t>
        </is>
      </c>
      <c r="N10" s="44">
        <f>JAN!N10</f>
        <v/>
      </c>
      <c r="P10" t="inlineStr">
        <is>
          <t>F: SÁBADOS; DOMINGOS E FERIADOS</t>
        </is>
      </c>
    </row>
    <row r="11" ht="16.5" customHeight="1" thickBot="1">
      <c r="A11" s="309" t="inlineStr">
        <is>
          <t>REGIME JURÍDICO:</t>
        </is>
      </c>
      <c r="B11" s="310" t="n"/>
      <c r="C11" s="311">
        <f>JAN!C11:E11</f>
        <v/>
      </c>
      <c r="D11" s="312" t="n"/>
      <c r="E11" s="313" t="n"/>
      <c r="F11" s="314" t="inlineStr">
        <is>
          <t>ÓRGÃO DE EXERCÍCIO:</t>
        </is>
      </c>
      <c r="G11" s="315" t="n"/>
      <c r="H11" s="310" t="n"/>
      <c r="I11" s="316" t="inlineStr">
        <is>
          <t>Secretaria de Estado da Educação</t>
        </is>
      </c>
      <c r="J11" s="312" t="n"/>
      <c r="K11" s="312" t="n"/>
      <c r="L11" s="312" t="n"/>
      <c r="M11" s="312" t="n"/>
      <c r="N11" s="317" t="n"/>
    </row>
    <row r="12" ht="39" customHeight="1" thickBot="1">
      <c r="A12" s="168" t="inlineStr">
        <is>
          <t>DIAS DA SEMANA</t>
        </is>
      </c>
      <c r="E12" s="287" t="n"/>
      <c r="F12" s="170" t="inlineStr">
        <is>
          <t>1º TURNO</t>
        </is>
      </c>
      <c r="G12" s="318" t="n"/>
      <c r="H12" s="170" t="inlineStr">
        <is>
          <t>2º TURNO</t>
        </is>
      </c>
      <c r="I12" s="318" t="n"/>
      <c r="J12" s="170" t="inlineStr">
        <is>
          <t>3º TURNO</t>
        </is>
      </c>
      <c r="K12" s="318" t="n"/>
      <c r="L12" s="6" t="inlineStr">
        <is>
          <t xml:space="preserve">HORAS TRABALHADAS </t>
        </is>
      </c>
      <c r="M12" s="6" t="inlineStr">
        <is>
          <t>CH PADRÃO</t>
        </is>
      </c>
      <c r="N12" s="6" t="inlineStr">
        <is>
          <t xml:space="preserve">SALDO </t>
        </is>
      </c>
      <c r="O12" s="47" t="n"/>
      <c r="P12" s="173" t="inlineStr">
        <is>
          <t>saldo acumulado até hoje</t>
        </is>
      </c>
      <c r="Q12" s="47" t="n"/>
      <c r="R12" s="319">
        <f>SUM(U14:U44)+SUM(FEV!U44)+SUM(MAR!U14:U44)+SUM(ABR!U14:U44)+SUM(MAIO!U14:U44)+SUM(JUN!U14:U44)+SUM(JUL!U14:U44)+SUM(AGO!U14:U44)+SUM(SET!U14:U44)+SUM(OUT!U14:U44)+SUM(NOV!U14:U44)+SUM(DEZ!U14:U44)</f>
        <v/>
      </c>
      <c r="S12" s="320" t="n"/>
      <c r="U12" s="66">
        <f>TODAY()</f>
        <v/>
      </c>
    </row>
    <row r="13" ht="26.25" customHeight="1" thickBot="1">
      <c r="A13" s="321" t="n"/>
      <c r="B13" s="322" t="n"/>
      <c r="C13" s="322" t="n"/>
      <c r="D13" s="322" t="n"/>
      <c r="E13" s="318" t="n"/>
      <c r="F13" s="7" t="inlineStr">
        <is>
          <t>ENTRADA MANHÃ</t>
        </is>
      </c>
      <c r="G13" s="7" t="inlineStr">
        <is>
          <t>SAÍDA MANHÃ</t>
        </is>
      </c>
      <c r="H13" s="7" t="inlineStr">
        <is>
          <t>ENTRADA TARDE</t>
        </is>
      </c>
      <c r="I13" s="7" t="inlineStr">
        <is>
          <t>SAÍDA DA TARDE</t>
        </is>
      </c>
      <c r="J13" s="7" t="inlineStr">
        <is>
          <t>ENTRADA EXTRA</t>
        </is>
      </c>
      <c r="K13" s="7" t="inlineStr">
        <is>
          <t>SAÍDA EXTRA</t>
        </is>
      </c>
      <c r="L13" s="8" t="inlineStr">
        <is>
          <t>POR DIA</t>
        </is>
      </c>
      <c r="M13" s="8" t="inlineStr">
        <is>
          <t>DIÁRIA</t>
        </is>
      </c>
      <c r="N13" s="8" t="inlineStr">
        <is>
          <t>DIÁRIO</t>
        </is>
      </c>
      <c r="O13" s="47" t="n"/>
      <c r="P13" s="92" t="inlineStr">
        <is>
          <t xml:space="preserve"> </t>
        </is>
      </c>
    </row>
    <row r="14" ht="16.5" customHeight="1" thickBot="1">
      <c r="A14" s="17">
        <f>IF(OR(C14=2,C14=8),"F","U")</f>
        <v/>
      </c>
      <c r="B14" s="45">
        <f>K6</f>
        <v/>
      </c>
      <c r="C14" s="390">
        <f>WEEKDAY(B14)+1</f>
        <v/>
      </c>
      <c r="D14" s="351" t="n"/>
      <c r="E14" s="291" t="n"/>
      <c r="F14" s="391" t="n">
        <v>0</v>
      </c>
      <c r="G14" s="396" t="n">
        <v>0</v>
      </c>
      <c r="H14" s="396" t="n">
        <v>0</v>
      </c>
      <c r="I14" s="397" t="n">
        <v>0</v>
      </c>
      <c r="J14" s="374" t="n"/>
      <c r="K14" s="328" t="n"/>
      <c r="L14" s="329">
        <f>IF(A14="U",(G14-F14)+(I14-H14)+(K14-J14),"NÃO ÚTIL")</f>
        <v/>
      </c>
      <c r="M14" s="330">
        <f>IF(A14="U",L7,"NÃO ÚTIL")</f>
        <v/>
      </c>
      <c r="N14" s="331">
        <f>IF(A14="U",(L14-M14),"NÃO ÚTIL")</f>
        <v/>
      </c>
      <c r="O14" s="47" t="n"/>
      <c r="P14" s="332">
        <f>IF(N14="não útil",0,N14)</f>
        <v/>
      </c>
      <c r="Q14" s="332">
        <f>P14</f>
        <v/>
      </c>
      <c r="R14" s="332">
        <f>Q14+$Q$4</f>
        <v/>
      </c>
      <c r="S14" s="47">
        <f>IF(B14=T14,"HOJE",".")</f>
        <v/>
      </c>
      <c r="T14" s="62">
        <f>TODAY()</f>
        <v/>
      </c>
      <c r="U14" s="332">
        <f>IF(S14="HOJE",R14,0)</f>
        <v/>
      </c>
      <c r="V14" s="47" t="n"/>
    </row>
    <row r="15" ht="16.5" customHeight="1" thickBot="1">
      <c r="A15" s="17">
        <f>IF(OR(C15=2,C15=8),"F","U")</f>
        <v/>
      </c>
      <c r="B15" s="46">
        <f>B14+1</f>
        <v/>
      </c>
      <c r="C15" s="393">
        <f>WEEKDAY(B15)+1</f>
        <v/>
      </c>
      <c r="D15" s="305" t="n"/>
      <c r="E15" s="296" t="n"/>
      <c r="F15" s="391" t="n">
        <v>0</v>
      </c>
      <c r="G15" s="396" t="n">
        <v>0</v>
      </c>
      <c r="H15" s="396" t="n">
        <v>0</v>
      </c>
      <c r="I15" s="397" t="n">
        <v>0</v>
      </c>
      <c r="J15" s="376" t="n"/>
      <c r="K15" s="336" t="n"/>
      <c r="L15" s="329">
        <f>IF(A15="U",(G15-F15)+(I15-H15)+(K15-J15),"NÃO ÚTIL")</f>
        <v/>
      </c>
      <c r="M15" s="330">
        <f>IF(A15="U",L7,"NÃO ÚTIL")</f>
        <v/>
      </c>
      <c r="N15" s="331">
        <f>IF(A15="U",(L15-M15),"NÃO ÚTIL")</f>
        <v/>
      </c>
      <c r="O15" s="337" t="n"/>
      <c r="P15" s="332">
        <f>IF(N15="não útil",0,N15)</f>
        <v/>
      </c>
      <c r="Q15" s="337">
        <f>P15+Q14</f>
        <v/>
      </c>
      <c r="R15" s="332">
        <f>Q15+$Q$4</f>
        <v/>
      </c>
      <c r="S15" s="47">
        <f>IF(B15=T15,"HOJE",".")</f>
        <v/>
      </c>
      <c r="T15" s="62">
        <f>TODAY()</f>
        <v/>
      </c>
      <c r="U15" s="332">
        <f>IF(S15="HOJE",R15,0)</f>
        <v/>
      </c>
      <c r="V15" s="47" t="n"/>
    </row>
    <row r="16" ht="16.5" customHeight="1" thickBot="1">
      <c r="A16" s="17">
        <f>IF(OR(C16=2,C16=8),"F","U")</f>
        <v/>
      </c>
      <c r="B16" s="46">
        <f>B15+1</f>
        <v/>
      </c>
      <c r="C16" s="393">
        <f>WEEKDAY(B16)+1</f>
        <v/>
      </c>
      <c r="D16" s="305" t="n"/>
      <c r="E16" s="296" t="n"/>
      <c r="F16" s="391" t="n">
        <v>0</v>
      </c>
      <c r="G16" s="396" t="n">
        <v>0</v>
      </c>
      <c r="H16" s="396" t="n">
        <v>0</v>
      </c>
      <c r="I16" s="397" t="n">
        <v>0</v>
      </c>
      <c r="J16" s="377" t="n"/>
      <c r="K16" s="339" t="n"/>
      <c r="L16" s="329">
        <f>IF(A16="U",(G16-F16)+(I16-H16)+(K16-J16),"NÃO ÚTIL")</f>
        <v/>
      </c>
      <c r="M16" s="330">
        <f>IF(A16="U",L7,"NÃO ÚTIL")</f>
        <v/>
      </c>
      <c r="N16" s="331">
        <f>IF(A16="U",(L16-M16),"NÃO ÚTIL")</f>
        <v/>
      </c>
      <c r="O16" s="337" t="n"/>
      <c r="P16" s="332">
        <f>IF(N16="não útil",0,N16)</f>
        <v/>
      </c>
      <c r="Q16" s="337">
        <f>P16+Q15</f>
        <v/>
      </c>
      <c r="R16" s="332">
        <f>Q16+$Q$4</f>
        <v/>
      </c>
      <c r="S16" s="47">
        <f>IF(B16=T16,"HOJE",".")</f>
        <v/>
      </c>
      <c r="T16" s="62">
        <f>TODAY()</f>
        <v/>
      </c>
      <c r="U16" s="332">
        <f>IF(S16="HOJE",R16,0)</f>
        <v/>
      </c>
      <c r="V16" s="47" t="n"/>
    </row>
    <row r="17" ht="16.5" customHeight="1" thickBot="1">
      <c r="A17" s="17" t="inlineStr">
        <is>
          <t>U</t>
        </is>
      </c>
      <c r="B17" s="46">
        <f>B16+1</f>
        <v/>
      </c>
      <c r="C17" s="393">
        <f>WEEKDAY(B17)+1</f>
        <v/>
      </c>
      <c r="D17" s="305" t="n"/>
      <c r="E17" s="296" t="n"/>
      <c r="F17" s="391" t="n">
        <v>0</v>
      </c>
      <c r="G17" s="396" t="n">
        <v>0</v>
      </c>
      <c r="H17" s="396" t="n">
        <v>0</v>
      </c>
      <c r="I17" s="397" t="n">
        <v>0</v>
      </c>
      <c r="J17" s="378" t="n"/>
      <c r="K17" s="341" t="n"/>
      <c r="L17" s="329">
        <f>IF(A17="U",(G17-F17)+(I17-H17)+(K17-J17),"NÃO ÚTIL")</f>
        <v/>
      </c>
      <c r="M17" s="330">
        <f>IF(A17="U",L7,"NÃO ÚTIL")</f>
        <v/>
      </c>
      <c r="N17" s="331">
        <f>IF(A17="U",(L17-M17),"NÃO ÚTIL")</f>
        <v/>
      </c>
      <c r="O17" s="47" t="n"/>
      <c r="P17" s="332">
        <f>IF(N17="não útil",0,N17)</f>
        <v/>
      </c>
      <c r="Q17" s="337">
        <f>P17+Q16</f>
        <v/>
      </c>
      <c r="R17" s="332">
        <f>Q17+$Q$4</f>
        <v/>
      </c>
      <c r="S17" s="47">
        <f>IF(B17=T17,"HOJE",".")</f>
        <v/>
      </c>
      <c r="T17" s="62">
        <f>TODAY()</f>
        <v/>
      </c>
      <c r="U17" s="332">
        <f>IF(S17="HOJE",R17,0)</f>
        <v/>
      </c>
      <c r="V17" s="47" t="n"/>
    </row>
    <row r="18" ht="16.5" customHeight="1" thickBot="1">
      <c r="A18" s="17">
        <f>IF(OR(C18=2,C18=8),"F","U")</f>
        <v/>
      </c>
      <c r="B18" s="46">
        <f>B17+1</f>
        <v/>
      </c>
      <c r="C18" s="393">
        <f>WEEKDAY(B18)+1</f>
        <v/>
      </c>
      <c r="D18" s="305" t="n"/>
      <c r="E18" s="296" t="n"/>
      <c r="F18" s="391" t="n">
        <v>0</v>
      </c>
      <c r="G18" s="396" t="n">
        <v>0</v>
      </c>
      <c r="H18" s="396" t="n">
        <v>0</v>
      </c>
      <c r="I18" s="397" t="n">
        <v>0</v>
      </c>
      <c r="J18" s="377" t="n"/>
      <c r="K18" s="339" t="n"/>
      <c r="L18" s="329">
        <f>IF(A18="U",(G18-F18)+(I18-H18)+(K18-J18),"NÃO ÚTIL")</f>
        <v/>
      </c>
      <c r="M18" s="330">
        <f>IF(A18="U",L7,"NÃO ÚTIL")</f>
        <v/>
      </c>
      <c r="N18" s="331">
        <f>IF(A18="U",(L18-M18),"NÃO ÚTIL")</f>
        <v/>
      </c>
      <c r="O18" s="47" t="n"/>
      <c r="P18" s="332">
        <f>IF(N18="não útil",0,N18)</f>
        <v/>
      </c>
      <c r="Q18" s="337">
        <f>P18+Q17</f>
        <v/>
      </c>
      <c r="R18" s="332">
        <f>Q18+$Q$4</f>
        <v/>
      </c>
      <c r="S18" s="47">
        <f>IF(B18=T18,"HOJE",".")</f>
        <v/>
      </c>
      <c r="T18" s="62">
        <f>TODAY()</f>
        <v/>
      </c>
      <c r="U18" s="332">
        <f>IF(S18="HOJE",R18,0)</f>
        <v/>
      </c>
      <c r="V18" s="47" t="n"/>
    </row>
    <row r="19" ht="16.5" customHeight="1" thickBot="1">
      <c r="A19" s="17">
        <f>IF(OR(C19=2,C19=8),"F","U")</f>
        <v/>
      </c>
      <c r="B19" s="46">
        <f>B18+1</f>
        <v/>
      </c>
      <c r="C19" s="393">
        <f>WEEKDAY(B19)+1</f>
        <v/>
      </c>
      <c r="D19" s="305" t="n"/>
      <c r="E19" s="296" t="n"/>
      <c r="F19" s="391" t="n">
        <v>0</v>
      </c>
      <c r="G19" s="396" t="n">
        <v>0</v>
      </c>
      <c r="H19" s="396" t="n">
        <v>0</v>
      </c>
      <c r="I19" s="397" t="n">
        <v>0</v>
      </c>
      <c r="J19" s="376" t="n"/>
      <c r="K19" s="336" t="n"/>
      <c r="L19" s="329">
        <f>IF(A19="U",(G19-F19)+(I19-H19)+(K19-J19),"NÃO ÚTIL")</f>
        <v/>
      </c>
      <c r="M19" s="330">
        <f>IF(A19="U",L7,"NÃO ÚTIL")</f>
        <v/>
      </c>
      <c r="N19" s="331">
        <f>IF(A19="U",(L19-M19),"NÃO ÚTIL")</f>
        <v/>
      </c>
      <c r="O19" s="47" t="n"/>
      <c r="P19" s="332">
        <f>IF(N19="não útil",0,N19)</f>
        <v/>
      </c>
      <c r="Q19" s="337">
        <f>P19+Q18</f>
        <v/>
      </c>
      <c r="R19" s="332">
        <f>Q19+$Q$4</f>
        <v/>
      </c>
      <c r="S19" s="47">
        <f>IF(B19=T19,"HOJE",".")</f>
        <v/>
      </c>
      <c r="T19" s="62">
        <f>TODAY()</f>
        <v/>
      </c>
      <c r="U19" s="332">
        <f>IF(S19="HOJE",R19,0)</f>
        <v/>
      </c>
      <c r="V19" s="47" t="n"/>
    </row>
    <row r="20" ht="16.5" customHeight="1" thickBot="1">
      <c r="A20" s="17">
        <f>IF(OR(C20=2,C20=8),"F","U")</f>
        <v/>
      </c>
      <c r="B20" s="46">
        <f>B19+1</f>
        <v/>
      </c>
      <c r="C20" s="393">
        <f>WEEKDAY(B20)+1</f>
        <v/>
      </c>
      <c r="D20" s="305" t="n"/>
      <c r="E20" s="296" t="n"/>
      <c r="F20" s="371" t="n">
        <v>0</v>
      </c>
      <c r="G20" s="372" t="n">
        <v>0</v>
      </c>
      <c r="H20" s="372" t="n">
        <v>0</v>
      </c>
      <c r="I20" s="373" t="n">
        <v>0</v>
      </c>
      <c r="J20" s="376" t="n"/>
      <c r="K20" s="336" t="n"/>
      <c r="L20" s="329">
        <f>IF(A20="U",(G20-F20)+(I20-H20)+(K20-J20),"NÃO ÚTIL")</f>
        <v/>
      </c>
      <c r="M20" s="330">
        <f>IF(A20="U",L7,"NÃO ÚTIL")</f>
        <v/>
      </c>
      <c r="N20" s="331">
        <f>IF(A20="U",(L20-M20),"NÃO ÚTIL")</f>
        <v/>
      </c>
      <c r="O20" s="47" t="n"/>
      <c r="P20" s="332">
        <f>IF(N20="não útil",0,N20)</f>
        <v/>
      </c>
      <c r="Q20" s="337">
        <f>P20+Q19</f>
        <v/>
      </c>
      <c r="R20" s="332">
        <f>Q20+$Q$4</f>
        <v/>
      </c>
      <c r="S20" s="47">
        <f>IF(B20=T20,"HOJE",".")</f>
        <v/>
      </c>
      <c r="T20" s="62">
        <f>TODAY()</f>
        <v/>
      </c>
      <c r="U20" s="332">
        <f>IF(S20="HOJE",R20,0)</f>
        <v/>
      </c>
      <c r="V20" s="47" t="n"/>
    </row>
    <row r="21" ht="16.5" customHeight="1" thickBot="1">
      <c r="A21" s="17">
        <f>IF(OR(C21=2,C21=8),"F","U")</f>
        <v/>
      </c>
      <c r="B21" s="46">
        <f>B20+1</f>
        <v/>
      </c>
      <c r="C21" s="393">
        <f>WEEKDAY(B21)+1</f>
        <v/>
      </c>
      <c r="D21" s="305" t="n"/>
      <c r="E21" s="296" t="n"/>
      <c r="F21" s="371" t="n">
        <v>0</v>
      </c>
      <c r="G21" s="372" t="n">
        <v>0</v>
      </c>
      <c r="H21" s="372" t="n">
        <v>0</v>
      </c>
      <c r="I21" s="373" t="n">
        <v>0</v>
      </c>
      <c r="J21" s="378" t="n"/>
      <c r="K21" s="341" t="n"/>
      <c r="L21" s="329">
        <f>IF(A21="U",(G21-F21)+(I21-H21)+(K21-J21),"NÃO ÚTIL")</f>
        <v/>
      </c>
      <c r="M21" s="330">
        <f>IF(A21="U",L7,"NÃO ÚTIL")</f>
        <v/>
      </c>
      <c r="N21" s="331">
        <f>IF(A21="U",(L21-M21),"NÃO ÚTIL")</f>
        <v/>
      </c>
      <c r="O21" s="47" t="n"/>
      <c r="P21" s="332">
        <f>IF(N21="não útil",0,N21)</f>
        <v/>
      </c>
      <c r="Q21" s="337">
        <f>P21+Q20</f>
        <v/>
      </c>
      <c r="R21" s="332">
        <f>Q21+$Q$4</f>
        <v/>
      </c>
      <c r="S21" s="47">
        <f>IF(B21=T21,"HOJE",".")</f>
        <v/>
      </c>
      <c r="T21" s="62">
        <f>TODAY()</f>
        <v/>
      </c>
      <c r="U21" s="332">
        <f>IF(S21="HOJE",R21,0)</f>
        <v/>
      </c>
      <c r="V21" s="47" t="n"/>
    </row>
    <row r="22" ht="16.5" customHeight="1" thickBot="1">
      <c r="A22" s="17" t="inlineStr">
        <is>
          <t>f</t>
        </is>
      </c>
      <c r="B22" s="46">
        <f>B21+1</f>
        <v/>
      </c>
      <c r="C22" s="393">
        <f>WEEKDAY(B22)+1</f>
        <v/>
      </c>
      <c r="D22" s="305" t="n"/>
      <c r="E22" s="296" t="n"/>
      <c r="F22" s="371" t="n">
        <v>0</v>
      </c>
      <c r="G22" s="372" t="n">
        <v>0</v>
      </c>
      <c r="H22" s="372" t="n">
        <v>0</v>
      </c>
      <c r="I22" s="373" t="n">
        <v>0</v>
      </c>
      <c r="J22" s="377" t="n"/>
      <c r="K22" s="339" t="n"/>
      <c r="L22" s="329">
        <f>IF(A22="U",(G22-F22)+(I22-H22)+(K22-J22),"NÃO ÚTIL")</f>
        <v/>
      </c>
      <c r="M22" s="330">
        <f>IF(A22="U",L7,"NÃO ÚTIL")</f>
        <v/>
      </c>
      <c r="N22" s="331">
        <f>IF(A22="U",(L22-M22),"NÃO ÚTIL")</f>
        <v/>
      </c>
      <c r="O22" s="47" t="n"/>
      <c r="P22" s="332">
        <f>IF(N22="não útil",0,N22)</f>
        <v/>
      </c>
      <c r="Q22" s="337">
        <f>P22+Q21</f>
        <v/>
      </c>
      <c r="R22" s="332">
        <f>Q22+$Q$4</f>
        <v/>
      </c>
      <c r="S22" s="47">
        <f>IF(B22=T22,"HOJE",".")</f>
        <v/>
      </c>
      <c r="T22" s="62">
        <f>TODAY()</f>
        <v/>
      </c>
      <c r="U22" s="332">
        <f>IF(S22="HOJE",R22,0)</f>
        <v/>
      </c>
      <c r="V22" s="47" t="n"/>
    </row>
    <row r="23" ht="16.5" customHeight="1" thickBot="1">
      <c r="A23" s="17">
        <f>IF(OR(C23=2,C23=8),"F","U")</f>
        <v/>
      </c>
      <c r="B23" s="46">
        <f>B22+1</f>
        <v/>
      </c>
      <c r="C23" s="393">
        <f>WEEKDAY(B23)+1</f>
        <v/>
      </c>
      <c r="D23" s="305" t="n"/>
      <c r="E23" s="296" t="n"/>
      <c r="F23" s="391" t="n">
        <v>0</v>
      </c>
      <c r="G23" s="396" t="n">
        <v>0</v>
      </c>
      <c r="H23" s="396" t="n">
        <v>0</v>
      </c>
      <c r="I23" s="397" t="n">
        <v>0</v>
      </c>
      <c r="J23" s="376" t="n"/>
      <c r="K23" s="336" t="n"/>
      <c r="L23" s="329">
        <f>IF(A23="U",(G23-F23)+(I23-H23)+(K23-J23),"NÃO ÚTIL")</f>
        <v/>
      </c>
      <c r="M23" s="330">
        <f>IF(A23="U",L7,"NÃO ÚTIL")</f>
        <v/>
      </c>
      <c r="N23" s="331">
        <f>IF(A23="U",(L23-M23),"NÃO ÚTIL")</f>
        <v/>
      </c>
      <c r="O23" s="47" t="n"/>
      <c r="P23" s="332">
        <f>IF(N23="não útil",0,N23)</f>
        <v/>
      </c>
      <c r="Q23" s="337">
        <f>P23+Q22</f>
        <v/>
      </c>
      <c r="R23" s="332">
        <f>Q23+$Q$4</f>
        <v/>
      </c>
      <c r="S23" s="47">
        <f>IF(B23=T23,"HOJE",".")</f>
        <v/>
      </c>
      <c r="T23" s="62">
        <f>TODAY()</f>
        <v/>
      </c>
      <c r="U23" s="332">
        <f>IF(S23="HOJE",R23,0)</f>
        <v/>
      </c>
      <c r="V23" s="47" t="n"/>
    </row>
    <row r="24" ht="16.5" customHeight="1" thickBot="1">
      <c r="A24" s="17">
        <f>IF(OR(C24=2,C24=8),"F","U")</f>
        <v/>
      </c>
      <c r="B24" s="46">
        <f>B23+1</f>
        <v/>
      </c>
      <c r="C24" s="393">
        <f>WEEKDAY(B24)+1</f>
        <v/>
      </c>
      <c r="D24" s="305" t="n"/>
      <c r="E24" s="296" t="n"/>
      <c r="F24" s="391" t="n">
        <v>0</v>
      </c>
      <c r="G24" s="396" t="n">
        <v>0</v>
      </c>
      <c r="H24" s="396" t="n">
        <v>0</v>
      </c>
      <c r="I24" s="397" t="n">
        <v>0</v>
      </c>
      <c r="J24" s="377" t="n"/>
      <c r="K24" s="339" t="n"/>
      <c r="L24" s="329">
        <f>IF(A24="U",(G24-F24)+(I24-H24)+(K24-J24),"NÃO ÚTIL")</f>
        <v/>
      </c>
      <c r="M24" s="330">
        <f>IF(A24="U",L7,"NÃO ÚTIL")</f>
        <v/>
      </c>
      <c r="N24" s="331">
        <f>IF(A24="U",(L24-M24),"NÃO ÚTIL")</f>
        <v/>
      </c>
      <c r="O24" s="47" t="n"/>
      <c r="P24" s="332">
        <f>IF(N24="não útil",0,N24)</f>
        <v/>
      </c>
      <c r="Q24" s="337">
        <f>P24+Q23</f>
        <v/>
      </c>
      <c r="R24" s="332">
        <f>Q24+$Q$4</f>
        <v/>
      </c>
      <c r="S24" s="47">
        <f>IF(B24=T24,"HOJE",".")</f>
        <v/>
      </c>
      <c r="T24" s="62">
        <f>TODAY()</f>
        <v/>
      </c>
      <c r="U24" s="332">
        <f>IF(S24="HOJE",R24,0)</f>
        <v/>
      </c>
      <c r="V24" s="47" t="n"/>
    </row>
    <row r="25" ht="16.5" customHeight="1" thickBot="1">
      <c r="A25" s="17">
        <f>IF(OR(C25=2,C25=8),"F","U")</f>
        <v/>
      </c>
      <c r="B25" s="46">
        <f>B24+1</f>
        <v/>
      </c>
      <c r="C25" s="393">
        <f>WEEKDAY(B25)+1</f>
        <v/>
      </c>
      <c r="D25" s="305" t="n"/>
      <c r="E25" s="296" t="n"/>
      <c r="F25" s="391" t="n">
        <v>0</v>
      </c>
      <c r="G25" s="396" t="n">
        <v>0</v>
      </c>
      <c r="H25" s="396" t="n">
        <v>0</v>
      </c>
      <c r="I25" s="397" t="n">
        <v>0</v>
      </c>
      <c r="J25" s="376" t="n"/>
      <c r="K25" s="336" t="n"/>
      <c r="L25" s="329">
        <f>IF(A25="U",(G25-F25)+(I25-H25)+(K25-J25),"NÃO ÚTIL")</f>
        <v/>
      </c>
      <c r="M25" s="330">
        <f>IF(A25="U",L7,"NÃO ÚTIL")</f>
        <v/>
      </c>
      <c r="N25" s="331">
        <f>IF(A25="U",(L25-M25),"NÃO ÚTIL")</f>
        <v/>
      </c>
      <c r="O25" s="47" t="n"/>
      <c r="P25" s="332">
        <f>IF(N25="não útil",0,N25)</f>
        <v/>
      </c>
      <c r="Q25" s="337">
        <f>P25+Q24</f>
        <v/>
      </c>
      <c r="R25" s="332">
        <f>Q25+$Q$4</f>
        <v/>
      </c>
      <c r="S25" s="47">
        <f>IF(B25=T25,"HOJE",".")</f>
        <v/>
      </c>
      <c r="T25" s="62">
        <f>TODAY()</f>
        <v/>
      </c>
      <c r="U25" s="332">
        <f>IF(S25="HOJE",R25,0)</f>
        <v/>
      </c>
      <c r="V25" s="47" t="n"/>
    </row>
    <row r="26" ht="16.5" customHeight="1" thickBot="1">
      <c r="A26" s="17">
        <f>IF(OR(C26=2,C26=8),"F","U")</f>
        <v/>
      </c>
      <c r="B26" s="46">
        <f>B25+1</f>
        <v/>
      </c>
      <c r="C26" s="393">
        <f>WEEKDAY(B26)+1</f>
        <v/>
      </c>
      <c r="D26" s="305" t="n"/>
      <c r="E26" s="296" t="n"/>
      <c r="F26" s="391" t="n">
        <v>0</v>
      </c>
      <c r="G26" s="396" t="n">
        <v>0</v>
      </c>
      <c r="H26" s="396" t="n">
        <v>0</v>
      </c>
      <c r="I26" s="397" t="n">
        <v>0</v>
      </c>
      <c r="J26" s="376" t="n"/>
      <c r="K26" s="336" t="n"/>
      <c r="L26" s="329">
        <f>IF(A26="U",(G26-F26)+(I26-H26)+(K26-J26),"NÃO ÚTIL")</f>
        <v/>
      </c>
      <c r="M26" s="330">
        <f>IF(A26="U",L7,"NÃO ÚTIL")</f>
        <v/>
      </c>
      <c r="N26" s="331">
        <f>IF(A26="U",(L26-M26),"NÃO ÚTIL")</f>
        <v/>
      </c>
      <c r="O26" s="47" t="n"/>
      <c r="P26" s="332">
        <f>IF(N26="não útil",0,N26)</f>
        <v/>
      </c>
      <c r="Q26" s="337">
        <f>P26+Q25</f>
        <v/>
      </c>
      <c r="R26" s="332">
        <f>Q26+$Q$4</f>
        <v/>
      </c>
      <c r="S26" s="47">
        <f>IF(B26=T26,"HOJE",".")</f>
        <v/>
      </c>
      <c r="T26" s="62">
        <f>TODAY()</f>
        <v/>
      </c>
      <c r="U26" s="332">
        <f>IF(S26="HOJE",R26,0)</f>
        <v/>
      </c>
      <c r="V26" s="47" t="n"/>
    </row>
    <row r="27" ht="16.5" customHeight="1" thickBot="1">
      <c r="A27" s="17">
        <f>IF(OR(C27=2,C27=8),"F","U")</f>
        <v/>
      </c>
      <c r="B27" s="46">
        <f>B26+1</f>
        <v/>
      </c>
      <c r="C27" s="393">
        <f>WEEKDAY(B27)+1</f>
        <v/>
      </c>
      <c r="D27" s="305" t="n"/>
      <c r="E27" s="296" t="n"/>
      <c r="F27" s="391" t="n">
        <v>0</v>
      </c>
      <c r="G27" s="396" t="n">
        <v>0</v>
      </c>
      <c r="H27" s="396" t="n">
        <v>0</v>
      </c>
      <c r="I27" s="397" t="n">
        <v>0</v>
      </c>
      <c r="J27" s="376" t="n"/>
      <c r="K27" s="336" t="n"/>
      <c r="L27" s="329">
        <f>IF(A27="U",(G27-F27)+(I27-H27)+(K27-J27),"NÃO ÚTIL")</f>
        <v/>
      </c>
      <c r="M27" s="330">
        <f>IF(A27="U",L7,"NÃO ÚTIL")</f>
        <v/>
      </c>
      <c r="N27" s="331">
        <f>IF(A27="U",(L27-M27),"NÃO ÚTIL")</f>
        <v/>
      </c>
      <c r="O27" s="47" t="n"/>
      <c r="P27" s="332">
        <f>IF(N27="não útil",0,N27)</f>
        <v/>
      </c>
      <c r="Q27" s="337">
        <f>P27+Q26</f>
        <v/>
      </c>
      <c r="R27" s="332">
        <f>Q27+$Q$4</f>
        <v/>
      </c>
      <c r="S27" s="47">
        <f>IF(B27=T27,"HOJE",".")</f>
        <v/>
      </c>
      <c r="T27" s="62">
        <f>TODAY()</f>
        <v/>
      </c>
      <c r="U27" s="332">
        <f>IF(S27="HOJE",R27,0)</f>
        <v/>
      </c>
      <c r="V27" s="47" t="n"/>
    </row>
    <row r="28" ht="16.5" customHeight="1" thickBot="1">
      <c r="A28" s="17">
        <f>IF(OR(C28=2,C28=8),"F","U")</f>
        <v/>
      </c>
      <c r="B28" s="46">
        <f>B27+1</f>
        <v/>
      </c>
      <c r="C28" s="393">
        <f>WEEKDAY(B28)+1</f>
        <v/>
      </c>
      <c r="D28" s="305" t="n"/>
      <c r="E28" s="296" t="n"/>
      <c r="F28" s="391" t="n">
        <v>0</v>
      </c>
      <c r="G28" s="396" t="n">
        <v>0</v>
      </c>
      <c r="H28" s="396" t="n">
        <v>0</v>
      </c>
      <c r="I28" s="397" t="n">
        <v>0</v>
      </c>
      <c r="J28" s="376" t="n"/>
      <c r="K28" s="336" t="n"/>
      <c r="L28" s="329">
        <f>IF(A28="U",(G28-F28)+(I28-H28)+(K28-J28),"NÃO ÚTIL")</f>
        <v/>
      </c>
      <c r="M28" s="330">
        <f>IF(A28="U",L7,"NÃO ÚTIL")</f>
        <v/>
      </c>
      <c r="N28" s="331">
        <f>IF(A28="U",(L28-M28),"NÃO ÚTIL")</f>
        <v/>
      </c>
      <c r="O28" s="47" t="n"/>
      <c r="P28" s="332">
        <f>IF(N28="não útil",0,N28)</f>
        <v/>
      </c>
      <c r="Q28" s="337">
        <f>P28+Q27</f>
        <v/>
      </c>
      <c r="R28" s="332">
        <f>Q28+$Q$4</f>
        <v/>
      </c>
      <c r="S28" s="47">
        <f>IF(B28=T28,"HOJE",".")</f>
        <v/>
      </c>
      <c r="T28" s="62">
        <f>TODAY()</f>
        <v/>
      </c>
      <c r="U28" s="332">
        <f>IF(S28="HOJE",R28,0)</f>
        <v/>
      </c>
      <c r="V28" s="47" t="n"/>
    </row>
    <row r="29" ht="16.5" customHeight="1" thickBot="1">
      <c r="A29" s="17">
        <f>IF(OR(C29=2,C29=8),"F","U")</f>
        <v/>
      </c>
      <c r="B29" s="46">
        <f>B28+1</f>
        <v/>
      </c>
      <c r="C29" s="393">
        <f>WEEKDAY(B29)+1</f>
        <v/>
      </c>
      <c r="D29" s="305" t="n"/>
      <c r="E29" s="296" t="n"/>
      <c r="F29" s="391" t="n">
        <v>0</v>
      </c>
      <c r="G29" s="396" t="n">
        <v>0</v>
      </c>
      <c r="H29" s="396" t="n">
        <v>0</v>
      </c>
      <c r="I29" s="397" t="n">
        <v>0</v>
      </c>
      <c r="J29" s="378" t="n"/>
      <c r="K29" s="341" t="n"/>
      <c r="L29" s="329">
        <f>IF(A29="U",(G29-F29)+(I29-H29)+(K29-J29),"NÃO ÚTIL")</f>
        <v/>
      </c>
      <c r="M29" s="330">
        <f>IF(A29="U",L7,"NÃO ÚTIL")</f>
        <v/>
      </c>
      <c r="N29" s="331">
        <f>IF(A29="U",(L29-M29),"NÃO ÚTIL")</f>
        <v/>
      </c>
      <c r="O29" s="47" t="n"/>
      <c r="P29" s="332">
        <f>IF(N29="não útil",0,N29)</f>
        <v/>
      </c>
      <c r="Q29" s="337">
        <f>P29+Q28</f>
        <v/>
      </c>
      <c r="R29" s="332">
        <f>Q29+$Q$4</f>
        <v/>
      </c>
      <c r="S29" s="47">
        <f>IF(B29=T29,"HOJE",".")</f>
        <v/>
      </c>
      <c r="T29" s="62">
        <f>TODAY()</f>
        <v/>
      </c>
      <c r="U29" s="332">
        <f>IF(S29="HOJE",R29,0)</f>
        <v/>
      </c>
      <c r="V29" s="47" t="n"/>
    </row>
    <row r="30" ht="16.5" customHeight="1" thickBot="1">
      <c r="A30" s="17">
        <f>IF(OR(C30=2,C30=8),"F","U")</f>
        <v/>
      </c>
      <c r="B30" s="46">
        <f>B29+1</f>
        <v/>
      </c>
      <c r="C30" s="393">
        <f>WEEKDAY(B30)+1</f>
        <v/>
      </c>
      <c r="D30" s="305" t="n"/>
      <c r="E30" s="296" t="n"/>
      <c r="F30" s="391" t="n">
        <v>0</v>
      </c>
      <c r="G30" s="396" t="n">
        <v>0</v>
      </c>
      <c r="H30" s="396" t="n">
        <v>0</v>
      </c>
      <c r="I30" s="397" t="n">
        <v>0</v>
      </c>
      <c r="J30" s="377" t="n"/>
      <c r="K30" s="339" t="n"/>
      <c r="L30" s="329">
        <f>IF(A30="U",(G30-F30)+(I30-H30)+(K30-J30),"NÃO ÚTIL")</f>
        <v/>
      </c>
      <c r="M30" s="330">
        <f>IF(A30="U",L7,"NÃO ÚTIL")</f>
        <v/>
      </c>
      <c r="N30" s="331">
        <f>IF(A30="U",(L30-M30),"NÃO ÚTIL")</f>
        <v/>
      </c>
      <c r="O30" s="47" t="n"/>
      <c r="P30" s="332">
        <f>IF(N30="não útil",0,N30)</f>
        <v/>
      </c>
      <c r="Q30" s="337">
        <f>P30+Q29</f>
        <v/>
      </c>
      <c r="R30" s="332">
        <f>Q30+$Q$4</f>
        <v/>
      </c>
      <c r="S30" s="47">
        <f>IF(B30=T30,"HOJE",".")</f>
        <v/>
      </c>
      <c r="T30" s="62">
        <f>TODAY()</f>
        <v/>
      </c>
      <c r="U30" s="332">
        <f>IF(S30="HOJE",R30,0)</f>
        <v/>
      </c>
      <c r="V30" s="47" t="n"/>
    </row>
    <row r="31" ht="16.5" customHeight="1" thickBot="1">
      <c r="A31" s="17">
        <f>IF(OR(C31=2,C31=8),"F","U")</f>
        <v/>
      </c>
      <c r="B31" s="46">
        <f>B30+1</f>
        <v/>
      </c>
      <c r="C31" s="393">
        <f>WEEKDAY(B31)+1</f>
        <v/>
      </c>
      <c r="D31" s="305" t="n"/>
      <c r="E31" s="296" t="n"/>
      <c r="F31" s="391" t="n">
        <v>0</v>
      </c>
      <c r="G31" s="396" t="n">
        <v>0</v>
      </c>
      <c r="H31" s="396" t="n">
        <v>0</v>
      </c>
      <c r="I31" s="397" t="n">
        <v>0</v>
      </c>
      <c r="J31" s="378" t="n"/>
      <c r="K31" s="341" t="n"/>
      <c r="L31" s="329">
        <f>IF(A31="U",(G31-F31)+(I31-H31)+(K31-J31),"NÃO ÚTIL")</f>
        <v/>
      </c>
      <c r="M31" s="330">
        <f>IF(A31="U",L7,"NÃO ÚTIL")</f>
        <v/>
      </c>
      <c r="N31" s="331">
        <f>IF(A31="U",(L31-M31),"NÃO ÚTIL")</f>
        <v/>
      </c>
      <c r="O31" s="47" t="n"/>
      <c r="P31" s="332">
        <f>IF(N31="não útil",0,N31)</f>
        <v/>
      </c>
      <c r="Q31" s="337">
        <f>P31+Q30</f>
        <v/>
      </c>
      <c r="R31" s="332">
        <f>Q31+$Q$4</f>
        <v/>
      </c>
      <c r="S31" s="47">
        <f>IF(B31=T31,"HOJE",".")</f>
        <v/>
      </c>
      <c r="T31" s="62">
        <f>TODAY()</f>
        <v/>
      </c>
      <c r="U31" s="332">
        <f>IF(S31="HOJE",R31,0)</f>
        <v/>
      </c>
      <c r="V31" s="47" t="n"/>
    </row>
    <row r="32" ht="16.5" customHeight="1" thickBot="1">
      <c r="A32" s="17">
        <f>IF(OR(C32=2,C32=8),"F","U")</f>
        <v/>
      </c>
      <c r="B32" s="46">
        <f>B31+1</f>
        <v/>
      </c>
      <c r="C32" s="393">
        <f>WEEKDAY(B32)+1</f>
        <v/>
      </c>
      <c r="D32" s="305" t="n"/>
      <c r="E32" s="296" t="n"/>
      <c r="F32" s="391" t="n">
        <v>0</v>
      </c>
      <c r="G32" s="396" t="n">
        <v>0</v>
      </c>
      <c r="H32" s="396" t="n">
        <v>0</v>
      </c>
      <c r="I32" s="397" t="n">
        <v>0</v>
      </c>
      <c r="J32" s="338" t="n"/>
      <c r="K32" s="339" t="n"/>
      <c r="L32" s="329">
        <f>IF(A32="U",(G32-F32)+(I32-H32)+(K32-J32),"NÃO ÚTIL")</f>
        <v/>
      </c>
      <c r="M32" s="330">
        <f>IF(A32="U",L7,"NÃO ÚTIL")</f>
        <v/>
      </c>
      <c r="N32" s="331">
        <f>IF(A32="U",(L32-M32),"NÃO ÚTIL")</f>
        <v/>
      </c>
      <c r="O32" s="47" t="n"/>
      <c r="P32" s="332">
        <f>IF(N32="não útil",0,N32)</f>
        <v/>
      </c>
      <c r="Q32" s="337">
        <f>P32+Q31</f>
        <v/>
      </c>
      <c r="R32" s="332">
        <f>Q32+$Q$4</f>
        <v/>
      </c>
      <c r="S32" s="47">
        <f>IF(B32=T32,"HOJE",".")</f>
        <v/>
      </c>
      <c r="T32" s="62">
        <f>TODAY()</f>
        <v/>
      </c>
      <c r="U32" s="332">
        <f>IF(S32="HOJE",R32,0)</f>
        <v/>
      </c>
      <c r="V32" s="47" t="n"/>
    </row>
    <row r="33" ht="16.5" customHeight="1" thickBot="1">
      <c r="A33" s="17">
        <f>IF(OR(C33=2,C33=8),"F","U")</f>
        <v/>
      </c>
      <c r="B33" s="46">
        <f>B32+1</f>
        <v/>
      </c>
      <c r="C33" s="393">
        <f>WEEKDAY(B33)+1</f>
        <v/>
      </c>
      <c r="D33" s="305" t="n"/>
      <c r="E33" s="296" t="n"/>
      <c r="F33" s="391" t="n">
        <v>0</v>
      </c>
      <c r="G33" s="396" t="n">
        <v>0</v>
      </c>
      <c r="H33" s="396" t="n">
        <v>0</v>
      </c>
      <c r="I33" s="397" t="n">
        <v>0</v>
      </c>
      <c r="J33" s="340" t="n"/>
      <c r="K33" s="341" t="n"/>
      <c r="L33" s="329">
        <f>IF(A33="U",(G33-F33)+(I33-H33)+(K33-J33),"NÃO ÚTIL")</f>
        <v/>
      </c>
      <c r="M33" s="330">
        <f>IF(A33="U",L7,"NÃO ÚTIL")</f>
        <v/>
      </c>
      <c r="N33" s="331">
        <f>IF(A33="U",(L33-M33),"NÃO ÚTIL")</f>
        <v/>
      </c>
      <c r="O33" s="47" t="n"/>
      <c r="P33" s="332">
        <f>IF(N33="não útil",0,N33)</f>
        <v/>
      </c>
      <c r="Q33" s="337">
        <f>P33+Q32</f>
        <v/>
      </c>
      <c r="R33" s="332">
        <f>Q33+$Q$4</f>
        <v/>
      </c>
      <c r="S33" s="47">
        <f>IF(B33=T33,"HOJE",".")</f>
        <v/>
      </c>
      <c r="T33" s="62">
        <f>TODAY()</f>
        <v/>
      </c>
      <c r="U33" s="332">
        <f>IF(S33="HOJE",R33,0)</f>
        <v/>
      </c>
      <c r="V33" s="47" t="n"/>
    </row>
    <row r="34" ht="16.5" customHeight="1" thickBot="1">
      <c r="A34" s="17">
        <f>IF(OR(C34=2,C34=8),"F","U")</f>
        <v/>
      </c>
      <c r="B34" s="46">
        <f>B33+1</f>
        <v/>
      </c>
      <c r="C34" s="393">
        <f>WEEKDAY(B34)+1</f>
        <v/>
      </c>
      <c r="D34" s="305" t="n"/>
      <c r="E34" s="296" t="n"/>
      <c r="F34" s="391" t="n">
        <v>0</v>
      </c>
      <c r="G34" s="396" t="n">
        <v>0</v>
      </c>
      <c r="H34" s="396" t="n">
        <v>0</v>
      </c>
      <c r="I34" s="397" t="n">
        <v>0</v>
      </c>
      <c r="J34" s="338" t="n"/>
      <c r="K34" s="345" t="n"/>
      <c r="L34" s="329">
        <f>IF(A34="U",(G34-F34)+(I34-H34)+(K34-J34),"NÃO ÚTIL")</f>
        <v/>
      </c>
      <c r="M34" s="330">
        <f>IF(A34="U",L7,"NÃO ÚTIL")</f>
        <v/>
      </c>
      <c r="N34" s="331">
        <f>IF(A34="U",(L34-M34),"NÃO ÚTIL")</f>
        <v/>
      </c>
      <c r="O34" s="47" t="n"/>
      <c r="P34" s="332">
        <f>IF(N34="não útil",0,N34)</f>
        <v/>
      </c>
      <c r="Q34" s="337">
        <f>P34+Q33</f>
        <v/>
      </c>
      <c r="R34" s="332">
        <f>Q34+$Q$4</f>
        <v/>
      </c>
      <c r="S34" s="47">
        <f>IF(B34=T34,"HOJE",".")</f>
        <v/>
      </c>
      <c r="T34" s="62">
        <f>TODAY()</f>
        <v/>
      </c>
      <c r="U34" s="332">
        <f>IF(S34="HOJE",R34,0)</f>
        <v/>
      </c>
      <c r="V34" s="47" t="n"/>
    </row>
    <row r="35" ht="16.5" customHeight="1" thickBot="1">
      <c r="A35" s="17">
        <f>IF(OR(C35=2,C35=8),"F","U")</f>
        <v/>
      </c>
      <c r="B35" s="46">
        <f>B34+1</f>
        <v/>
      </c>
      <c r="C35" s="393">
        <f>WEEKDAY(B35)+1</f>
        <v/>
      </c>
      <c r="D35" s="305" t="n"/>
      <c r="E35" s="296" t="n"/>
      <c r="F35" s="391" t="n">
        <v>0</v>
      </c>
      <c r="G35" s="396" t="n">
        <v>0</v>
      </c>
      <c r="H35" s="396" t="n">
        <v>0</v>
      </c>
      <c r="I35" s="397" t="n">
        <v>0</v>
      </c>
      <c r="J35" s="338" t="n"/>
      <c r="K35" s="339" t="n"/>
      <c r="L35" s="329">
        <f>IF(A35="U",(G35-F35)+(I35-H35)+(K35-J35),"NÃO ÚTIL")</f>
        <v/>
      </c>
      <c r="M35" s="330">
        <f>IF(A35="U",L7,"NÃO ÚTIL")</f>
        <v/>
      </c>
      <c r="N35" s="331">
        <f>IF(A35="U",(L35-M35),"NÃO ÚTIL")</f>
        <v/>
      </c>
      <c r="O35" s="47" t="n"/>
      <c r="P35" s="332">
        <f>IF(N35="não útil",0,N35)</f>
        <v/>
      </c>
      <c r="Q35" s="337">
        <f>P35+Q34</f>
        <v/>
      </c>
      <c r="R35" s="332">
        <f>Q35+$Q$4</f>
        <v/>
      </c>
      <c r="S35" s="47">
        <f>IF(B35=T35,"HOJE",".")</f>
        <v/>
      </c>
      <c r="T35" s="62">
        <f>TODAY()</f>
        <v/>
      </c>
      <c r="U35" s="332">
        <f>IF(S35="HOJE",R35,0)</f>
        <v/>
      </c>
      <c r="V35" s="47" t="n"/>
    </row>
    <row r="36" ht="16.5" customHeight="1" thickBot="1">
      <c r="A36" s="17">
        <f>IF(OR(C36=2,C36=8),"F","U")</f>
        <v/>
      </c>
      <c r="B36" s="46">
        <f>B35+1</f>
        <v/>
      </c>
      <c r="C36" s="393">
        <f>WEEKDAY(B36)+1</f>
        <v/>
      </c>
      <c r="D36" s="305" t="n"/>
      <c r="E36" s="296" t="n"/>
      <c r="F36" s="391" t="n">
        <v>0</v>
      </c>
      <c r="G36" s="396" t="n">
        <v>0</v>
      </c>
      <c r="H36" s="396" t="n">
        <v>0</v>
      </c>
      <c r="I36" s="397" t="n">
        <v>0</v>
      </c>
      <c r="J36" s="335" t="n"/>
      <c r="K36" s="336" t="n"/>
      <c r="L36" s="329">
        <f>IF(A36="U",(G36-F36)+(I36-H36)+(K36-J36),"NÃO ÚTIL")</f>
        <v/>
      </c>
      <c r="M36" s="330">
        <f>IF(A36="U",L7,"NÃO ÚTIL")</f>
        <v/>
      </c>
      <c r="N36" s="331">
        <f>IF(A36="U",(L36-M36),"NÃO ÚTIL")</f>
        <v/>
      </c>
      <c r="O36" s="47" t="n"/>
      <c r="P36" s="332">
        <f>IF(N36="não útil",0,N36)</f>
        <v/>
      </c>
      <c r="Q36" s="337">
        <f>P36+Q35</f>
        <v/>
      </c>
      <c r="R36" s="332">
        <f>Q36+$Q$4</f>
        <v/>
      </c>
      <c r="S36" s="47">
        <f>IF(B36=T36,"HOJE",".")</f>
        <v/>
      </c>
      <c r="T36" s="62">
        <f>TODAY()</f>
        <v/>
      </c>
      <c r="U36" s="332">
        <f>IF(S36="HOJE",R36,0)</f>
        <v/>
      </c>
      <c r="V36" s="47" t="n"/>
    </row>
    <row r="37" ht="16.5" customHeight="1" thickBot="1">
      <c r="A37" s="17">
        <f>IF(OR(C37=2,C37=8),"F","U")</f>
        <v/>
      </c>
      <c r="B37" s="46">
        <f>B36+1</f>
        <v/>
      </c>
      <c r="C37" s="393">
        <f>WEEKDAY(B37)+1</f>
        <v/>
      </c>
      <c r="D37" s="305" t="n"/>
      <c r="E37" s="296" t="n"/>
      <c r="F37" s="391" t="n">
        <v>0</v>
      </c>
      <c r="G37" s="396" t="n">
        <v>0</v>
      </c>
      <c r="H37" s="396" t="n">
        <v>0</v>
      </c>
      <c r="I37" s="397" t="n">
        <v>0</v>
      </c>
      <c r="J37" s="338" t="n"/>
      <c r="K37" s="345" t="n"/>
      <c r="L37" s="329">
        <f>IF(A37="U",(G37-F37)+(I37-H37)+(K37-J37),"NÃO ÚTIL")</f>
        <v/>
      </c>
      <c r="M37" s="330">
        <f>IF(A37="U",L7,"NÃO ÚTIL")</f>
        <v/>
      </c>
      <c r="N37" s="331">
        <f>IF(A37="U",(L37-M37),"NÃO ÚTIL")</f>
        <v/>
      </c>
      <c r="O37" s="47" t="n"/>
      <c r="P37" s="332">
        <f>IF(N37="não útil",0,N37)</f>
        <v/>
      </c>
      <c r="Q37" s="337">
        <f>P37+Q36</f>
        <v/>
      </c>
      <c r="R37" s="332">
        <f>Q37+$Q$4</f>
        <v/>
      </c>
      <c r="S37" s="47">
        <f>IF(B37=T37,"HOJE",".")</f>
        <v/>
      </c>
      <c r="T37" s="62">
        <f>TODAY()</f>
        <v/>
      </c>
      <c r="U37" s="332">
        <f>IF(S37="HOJE",R37,0)</f>
        <v/>
      </c>
      <c r="V37" s="47" t="n"/>
    </row>
    <row r="38" ht="16.5" customHeight="1" thickBot="1">
      <c r="A38" s="17">
        <f>IF(OR(C38=2,C38=8),"F","U")</f>
        <v/>
      </c>
      <c r="B38" s="46">
        <f>B37+1</f>
        <v/>
      </c>
      <c r="C38" s="393">
        <f>WEEKDAY(B38)+1</f>
        <v/>
      </c>
      <c r="D38" s="305" t="n"/>
      <c r="E38" s="296" t="n"/>
      <c r="F38" s="391" t="n">
        <v>0</v>
      </c>
      <c r="G38" s="396" t="n">
        <v>0</v>
      </c>
      <c r="H38" s="396" t="n">
        <v>0</v>
      </c>
      <c r="I38" s="397" t="n">
        <v>0</v>
      </c>
      <c r="J38" s="340" t="n"/>
      <c r="K38" s="345" t="n"/>
      <c r="L38" s="329">
        <f>IF(A38="U",(G38-F38)+(I38-H38)+(K38-J38),"NÃO ÚTIL")</f>
        <v/>
      </c>
      <c r="M38" s="330">
        <f>IF(A38="U",L7,"NÃO ÚTIL")</f>
        <v/>
      </c>
      <c r="N38" s="331">
        <f>IF(A38="U",(L38-M38),"NÃO ÚTIL")</f>
        <v/>
      </c>
      <c r="O38" s="47" t="n"/>
      <c r="P38" s="332">
        <f>IF(N38="não útil",0,N38)</f>
        <v/>
      </c>
      <c r="Q38" s="337">
        <f>P38+Q37</f>
        <v/>
      </c>
      <c r="R38" s="332">
        <f>Q38+$Q$4</f>
        <v/>
      </c>
      <c r="S38" s="47">
        <f>IF(B38=T38,"HOJE",".")</f>
        <v/>
      </c>
      <c r="T38" s="62">
        <f>TODAY()</f>
        <v/>
      </c>
      <c r="U38" s="332">
        <f>IF(S38="HOJE",R38,0)</f>
        <v/>
      </c>
      <c r="V38" s="47" t="n"/>
    </row>
    <row r="39" ht="16.5" customHeight="1" thickBot="1">
      <c r="A39" s="17">
        <f>IF(OR(C39=2,C39=8),"F","U")</f>
        <v/>
      </c>
      <c r="B39" s="46">
        <f>B38+1</f>
        <v/>
      </c>
      <c r="C39" s="393">
        <f>WEEKDAY(B39)+1</f>
        <v/>
      </c>
      <c r="D39" s="305" t="n"/>
      <c r="E39" s="296" t="n"/>
      <c r="F39" s="391" t="n">
        <v>0</v>
      </c>
      <c r="G39" s="396" t="n">
        <v>0</v>
      </c>
      <c r="H39" s="396" t="n">
        <v>0</v>
      </c>
      <c r="I39" s="397" t="n">
        <v>0</v>
      </c>
      <c r="J39" s="377" t="n"/>
      <c r="K39" s="339" t="n"/>
      <c r="L39" s="329">
        <f>IF(A39="U",(G39-F39)+(I39-H39)+(K39-J39),"NÃO ÚTIL")</f>
        <v/>
      </c>
      <c r="M39" s="330">
        <f>IF(A39="U",L7,"NÃO ÚTIL")</f>
        <v/>
      </c>
      <c r="N39" s="331">
        <f>IF(A39="U",(L39-M39),"NÃO ÚTIL")</f>
        <v/>
      </c>
      <c r="O39" s="47" t="n"/>
      <c r="P39" s="332">
        <f>IF(N39="não útil",0,N39)</f>
        <v/>
      </c>
      <c r="Q39" s="337">
        <f>P39+Q38</f>
        <v/>
      </c>
      <c r="R39" s="332">
        <f>Q39+$Q$4</f>
        <v/>
      </c>
      <c r="S39" s="47">
        <f>IF(B39=T39,"HOJE",".")</f>
        <v/>
      </c>
      <c r="T39" s="62">
        <f>TODAY()</f>
        <v/>
      </c>
      <c r="U39" s="332">
        <f>IF(S39="HOJE",R39,0)</f>
        <v/>
      </c>
      <c r="V39" s="47" t="n"/>
    </row>
    <row r="40" ht="16.5" customHeight="1" thickBot="1">
      <c r="A40" s="17">
        <f>IF(OR(C40=2,C40=8),"F","U")</f>
        <v/>
      </c>
      <c r="B40" s="46">
        <f>B39+1</f>
        <v/>
      </c>
      <c r="C40" s="393">
        <f>WEEKDAY(B40)+1</f>
        <v/>
      </c>
      <c r="D40" s="305" t="n"/>
      <c r="E40" s="296" t="n"/>
      <c r="F40" s="391" t="n">
        <v>0</v>
      </c>
      <c r="G40" s="396" t="n">
        <v>0</v>
      </c>
      <c r="H40" s="396" t="n">
        <v>0</v>
      </c>
      <c r="I40" s="397" t="n">
        <v>0</v>
      </c>
      <c r="J40" s="378" t="n"/>
      <c r="K40" s="341" t="n"/>
      <c r="L40" s="329">
        <f>IF(A40="U",(G40-F40)+(I40-H40)+(K40-J40),"NÃO ÚTIL")</f>
        <v/>
      </c>
      <c r="M40" s="330">
        <f>IF(A40="U",L7,"NÃO ÚTIL")</f>
        <v/>
      </c>
      <c r="N40" s="331">
        <f>IF(A40="U",(L40-M40),"NÃO ÚTIL")</f>
        <v/>
      </c>
      <c r="O40" s="47" t="n"/>
      <c r="P40" s="332">
        <f>IF(N40="não útil",0,N40)</f>
        <v/>
      </c>
      <c r="Q40" s="337">
        <f>P40+Q39</f>
        <v/>
      </c>
      <c r="R40" s="332">
        <f>Q40+$Q$4</f>
        <v/>
      </c>
      <c r="S40" s="47">
        <f>IF(B40=T40,"HOJE",".")</f>
        <v/>
      </c>
      <c r="T40" s="62">
        <f>TODAY()</f>
        <v/>
      </c>
      <c r="U40" s="332">
        <f>IF(S40="HOJE",R40,0)</f>
        <v/>
      </c>
      <c r="V40" s="47" t="n"/>
    </row>
    <row r="41" ht="16.5" customHeight="1" thickBot="1">
      <c r="A41" s="17">
        <f>IF(OR(C41=2,C41=8),"F","U")</f>
        <v/>
      </c>
      <c r="B41" s="46">
        <f>B40+1</f>
        <v/>
      </c>
      <c r="C41" s="393">
        <f>WEEKDAY(B41)+1</f>
        <v/>
      </c>
      <c r="D41" s="305" t="n"/>
      <c r="E41" s="296" t="n"/>
      <c r="F41" s="391" t="n">
        <v>0</v>
      </c>
      <c r="G41" s="396" t="n">
        <v>0</v>
      </c>
      <c r="H41" s="396" t="n">
        <v>0</v>
      </c>
      <c r="I41" s="397" t="n">
        <v>0</v>
      </c>
      <c r="J41" s="398" t="n"/>
      <c r="K41" s="339" t="n"/>
      <c r="L41" s="399">
        <f>IF(A41="U",(G41-F41)+(I41-H41),"NÃO ÚTIL")</f>
        <v/>
      </c>
      <c r="M41" s="330">
        <f>IF(A41="U",L7,"NÃO ÚTIL")</f>
        <v/>
      </c>
      <c r="N41" s="331">
        <f>IF(A41="U",(L41-M41),"NÃO ÚTIL")</f>
        <v/>
      </c>
      <c r="O41" s="47" t="n"/>
      <c r="P41" s="332">
        <f>IF(N41="não útil",0,N41)</f>
        <v/>
      </c>
      <c r="Q41" s="337">
        <f>P41+Q40</f>
        <v/>
      </c>
      <c r="R41" s="332">
        <f>Q41+$Q$4</f>
        <v/>
      </c>
      <c r="S41" s="47">
        <f>IF(B41=T41,"HOJE",".")</f>
        <v/>
      </c>
      <c r="T41" s="62">
        <f>TODAY()</f>
        <v/>
      </c>
      <c r="U41" s="332">
        <f>IF(S41="HOJE",R41,0)</f>
        <v/>
      </c>
      <c r="V41" s="47" t="n"/>
    </row>
    <row r="42" ht="16.5" customHeight="1" thickBot="1">
      <c r="A42" s="17">
        <f>IF(OR(C42=2,C42=8),"F","U")</f>
        <v/>
      </c>
      <c r="B42" s="46">
        <f>B41+1</f>
        <v/>
      </c>
      <c r="C42" s="393">
        <f>WEEKDAY(B42)+1</f>
        <v/>
      </c>
      <c r="D42" s="305" t="n"/>
      <c r="E42" s="296" t="n"/>
      <c r="F42" s="391" t="n">
        <v>0</v>
      </c>
      <c r="G42" s="396" t="n">
        <v>0</v>
      </c>
      <c r="H42" s="396" t="n">
        <v>0</v>
      </c>
      <c r="I42" s="397" t="n">
        <v>0</v>
      </c>
      <c r="J42" s="377" t="n"/>
      <c r="K42" s="341" t="n"/>
      <c r="L42" s="329">
        <f>IF(A42="U",(G42-F42)+(I42-H42)+(K42-J42),"NÃO ÚTIL")</f>
        <v/>
      </c>
      <c r="M42" s="330">
        <f>IF(A42="U",L7,"NÃO ÚTIL")</f>
        <v/>
      </c>
      <c r="N42" s="331">
        <f>IF(A42="U",(L42-M42),"NÃO ÚTIL")</f>
        <v/>
      </c>
      <c r="O42" s="47" t="n"/>
      <c r="P42" s="332">
        <f>IF(N42="não útil",0,N42)</f>
        <v/>
      </c>
      <c r="Q42" s="337">
        <f>P42+Q41</f>
        <v/>
      </c>
      <c r="R42" s="332">
        <f>Q42+$Q$4</f>
        <v/>
      </c>
      <c r="S42" s="47">
        <f>IF(B42=T42,"HOJE",".")</f>
        <v/>
      </c>
      <c r="T42" s="62">
        <f>TODAY()</f>
        <v/>
      </c>
      <c r="U42" s="332">
        <f>IF(S42="HOJE",R42,0)</f>
        <v/>
      </c>
      <c r="V42" s="47" t="n"/>
    </row>
    <row r="43" ht="16.5" customHeight="1" thickBot="1">
      <c r="A43" s="17">
        <f>IF(OR(C43=2,C43=8),"F","U")</f>
        <v/>
      </c>
      <c r="B43" s="46">
        <f>B42+1</f>
        <v/>
      </c>
      <c r="C43" s="393">
        <f>WEEKDAY(B43)+1</f>
        <v/>
      </c>
      <c r="D43" s="305" t="n"/>
      <c r="E43" s="296" t="n"/>
      <c r="F43" s="391" t="n">
        <v>0</v>
      </c>
      <c r="G43" s="396" t="n">
        <v>0</v>
      </c>
      <c r="H43" s="396" t="n">
        <v>0</v>
      </c>
      <c r="I43" s="397" t="n">
        <v>0</v>
      </c>
      <c r="J43" s="377" t="n"/>
      <c r="K43" s="339" t="n"/>
      <c r="L43" s="329">
        <f>IF(A43="U",(G43-F43)+(I43-H43)+(K43-J43),"NÃO ÚTIL")</f>
        <v/>
      </c>
      <c r="M43" s="330">
        <f>IF(A43="U",L7,"NÃO ÚTIL")</f>
        <v/>
      </c>
      <c r="N43" s="331">
        <f>IF(A43="U",(L43-M43),"NÃO ÚTIL")</f>
        <v/>
      </c>
      <c r="O43" s="47" t="n"/>
      <c r="P43" s="332">
        <f>IF(N43="não útil",0,N43)</f>
        <v/>
      </c>
      <c r="Q43" s="337">
        <f>P43+Q42</f>
        <v/>
      </c>
      <c r="R43" s="332">
        <f>Q43+$Q$4</f>
        <v/>
      </c>
      <c r="S43" s="47">
        <f>IF(B43=T43,"HOJE",".")</f>
        <v/>
      </c>
      <c r="T43" s="62">
        <f>TODAY()</f>
        <v/>
      </c>
      <c r="U43" s="332">
        <f>IF(S43="HOJE",R43,0)</f>
        <v/>
      </c>
      <c r="V43" s="47" t="n"/>
    </row>
    <row r="44" ht="23.25" customHeight="1" thickBot="1">
      <c r="A44" s="346" t="inlineStr">
        <is>
          <t>TOTAL MÊS:</t>
        </is>
      </c>
      <c r="B44" s="347" t="n"/>
      <c r="C44" s="347" t="n"/>
      <c r="D44" s="347" t="n"/>
      <c r="E44" s="347" t="n"/>
      <c r="F44" s="347" t="n"/>
      <c r="G44" s="347" t="n"/>
      <c r="H44" s="347" t="n"/>
      <c r="I44" s="347" t="n"/>
      <c r="J44" s="347" t="n"/>
      <c r="K44" s="348" t="n"/>
      <c r="L44" s="349">
        <f>SUM(L14:L43)</f>
        <v/>
      </c>
      <c r="M44" s="349">
        <f>SUM(M14:M43)</f>
        <v/>
      </c>
      <c r="N44" s="350">
        <f>SUM(N14:N43)</f>
        <v/>
      </c>
      <c r="O44" s="47" t="n"/>
      <c r="P44" s="332" t="n"/>
      <c r="Q44" s="337" t="n"/>
      <c r="R44" s="332" t="n"/>
      <c r="S44" s="47" t="n"/>
      <c r="T44" s="62" t="n"/>
      <c r="U44" s="332" t="n"/>
      <c r="V44" s="47" t="n"/>
    </row>
    <row r="45" ht="12" customHeight="1" thickBot="1">
      <c r="A45" s="247" t="inlineStr">
        <is>
          <t>OBS:</t>
        </is>
      </c>
      <c r="B45" s="292" t="n"/>
      <c r="C45" s="160" t="n"/>
      <c r="D45" s="292" t="n"/>
      <c r="E45" s="292" t="n"/>
      <c r="F45" s="292" t="n"/>
      <c r="G45" s="292" t="n"/>
      <c r="H45" s="292" t="n"/>
      <c r="I45" s="293" t="n"/>
      <c r="J45" s="161" t="n"/>
      <c r="K45" s="347" t="n"/>
      <c r="L45" s="347" t="n"/>
      <c r="M45" s="347" t="n"/>
      <c r="N45" s="352" t="inlineStr">
        <is>
          <t>HORA (S)</t>
        </is>
      </c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 ht="12" customHeight="1" thickBot="1">
      <c r="A46" s="106" t="n"/>
      <c r="B46" s="297" t="n"/>
      <c r="C46" s="297" t="n"/>
      <c r="D46" s="297" t="n"/>
      <c r="E46" s="297" t="n"/>
      <c r="F46" s="297" t="n"/>
      <c r="G46" s="297" t="n"/>
      <c r="H46" s="297" t="n"/>
      <c r="I46" s="298" t="n"/>
      <c r="J46" s="353" t="inlineStr">
        <is>
          <t>CARGA HORÁRIA TRABAHADA (MÊS)</t>
        </is>
      </c>
      <c r="K46" s="354" t="n"/>
      <c r="L46" s="355" t="n"/>
      <c r="M46" s="356">
        <f>L44</f>
        <v/>
      </c>
      <c r="N46" s="355" t="n"/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 ht="12" customHeight="1" thickBot="1">
      <c r="A47" s="106" t="n"/>
      <c r="B47" s="297" t="n"/>
      <c r="C47" s="297" t="n"/>
      <c r="D47" s="297" t="n"/>
      <c r="E47" s="297" t="n"/>
      <c r="F47" s="297" t="n"/>
      <c r="G47" s="297" t="n"/>
      <c r="H47" s="297" t="n"/>
      <c r="I47" s="298" t="n"/>
      <c r="J47" s="322" t="n"/>
      <c r="K47" s="322" t="n"/>
      <c r="L47" s="318" t="n"/>
      <c r="M47" s="321" t="n"/>
      <c r="N47" s="318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 ht="12" customHeight="1" thickBot="1">
      <c r="A48" s="106" t="n"/>
      <c r="B48" s="297" t="n"/>
      <c r="C48" s="297" t="n"/>
      <c r="D48" s="297" t="n"/>
      <c r="E48" s="297" t="n"/>
      <c r="F48" s="297" t="n"/>
      <c r="G48" s="297" t="n"/>
      <c r="H48" s="297" t="n"/>
      <c r="I48" s="298" t="n"/>
      <c r="J48" s="353" t="inlineStr">
        <is>
          <t>CARGA HORÁRIA PREVISTA (MÊS)</t>
        </is>
      </c>
      <c r="K48" s="354" t="n"/>
      <c r="L48" s="355" t="n"/>
      <c r="M48" s="356">
        <f>M44</f>
        <v/>
      </c>
      <c r="N48" s="355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12" customHeight="1" thickBot="1">
      <c r="A49" s="106" t="n"/>
      <c r="B49" s="297" t="n"/>
      <c r="C49" s="297" t="n"/>
      <c r="D49" s="297" t="n"/>
      <c r="E49" s="297" t="n"/>
      <c r="F49" s="297" t="n"/>
      <c r="G49" s="297" t="n"/>
      <c r="H49" s="297" t="n"/>
      <c r="I49" s="298" t="n"/>
      <c r="J49" s="322" t="n"/>
      <c r="K49" s="322" t="n"/>
      <c r="L49" s="318" t="n"/>
      <c r="M49" s="321" t="n"/>
      <c r="N49" s="318" t="n"/>
      <c r="O49" s="47" t="n"/>
      <c r="P49" s="47" t="n"/>
      <c r="Q49" s="47" t="n"/>
      <c r="R49" s="47" t="n"/>
      <c r="S49" s="47" t="n"/>
      <c r="T49" s="47" t="n"/>
      <c r="U49" s="47" t="n"/>
      <c r="V49" s="47" t="n"/>
    </row>
    <row r="50" ht="12" customHeight="1" thickBot="1">
      <c r="A50" s="106" t="n"/>
      <c r="B50" s="297" t="n"/>
      <c r="C50" s="297" t="n"/>
      <c r="D50" s="297" t="n"/>
      <c r="E50" s="297" t="n"/>
      <c r="F50" s="297" t="n"/>
      <c r="G50" s="297" t="n"/>
      <c r="H50" s="297" t="n"/>
      <c r="I50" s="298" t="n"/>
      <c r="J50" s="357" t="inlineStr">
        <is>
          <t>SALDO CARGA HORÁRIA (MÊS)</t>
        </is>
      </c>
      <c r="K50" s="354" t="n"/>
      <c r="L50" s="355" t="n"/>
      <c r="M50" s="356">
        <f>N44</f>
        <v/>
      </c>
      <c r="N50" s="355" t="n"/>
      <c r="O50" s="47" t="n"/>
      <c r="P50" s="47" t="n"/>
      <c r="Q50" s="47" t="n"/>
      <c r="R50" s="47" t="n"/>
      <c r="S50" s="47" t="n"/>
      <c r="T50" s="47" t="n"/>
      <c r="U50" s="47" t="n"/>
      <c r="V50" s="47" t="n"/>
    </row>
    <row r="51" ht="12" customHeight="1" thickBot="1">
      <c r="A51" s="106" t="n"/>
      <c r="B51" s="297" t="n"/>
      <c r="C51" s="297" t="n"/>
      <c r="D51" s="297" t="n"/>
      <c r="E51" s="297" t="n"/>
      <c r="F51" s="297" t="n"/>
      <c r="G51" s="297" t="n"/>
      <c r="H51" s="297" t="n"/>
      <c r="I51" s="298" t="n"/>
      <c r="J51" s="322" t="n"/>
      <c r="K51" s="322" t="n"/>
      <c r="L51" s="318" t="n"/>
      <c r="M51" s="321" t="n"/>
      <c r="N51" s="318" t="n"/>
      <c r="O51" s="47" t="n"/>
      <c r="P51" s="47" t="n"/>
      <c r="Q51" s="47" t="n"/>
      <c r="R51" s="47" t="n"/>
      <c r="S51" s="47" t="n"/>
      <c r="T51" s="47" t="n"/>
      <c r="U51" s="47" t="n"/>
      <c r="V51" s="47" t="n"/>
    </row>
    <row r="52" ht="12" customHeight="1">
      <c r="A52" s="106" t="n"/>
      <c r="B52" s="297" t="n"/>
      <c r="C52" s="297" t="n"/>
      <c r="D52" s="297" t="n"/>
      <c r="E52" s="297" t="n"/>
      <c r="F52" s="297" t="n"/>
      <c r="G52" s="297" t="n"/>
      <c r="H52" s="297" t="n"/>
      <c r="I52" s="298" t="n"/>
      <c r="J52" s="357" t="inlineStr">
        <is>
          <t>SALDO MÊS ANTERIOR</t>
        </is>
      </c>
      <c r="K52" s="354" t="n"/>
      <c r="L52" s="355" t="n"/>
      <c r="M52" s="356">
        <f>MAR!M55</f>
        <v/>
      </c>
      <c r="N52" s="355" t="n"/>
      <c r="O52" s="47" t="n"/>
      <c r="P52" s="47" t="n"/>
      <c r="Q52" s="47" t="n"/>
      <c r="R52" s="47" t="n"/>
      <c r="S52" s="47" t="n"/>
      <c r="T52" s="47" t="n"/>
      <c r="U52" s="47" t="n"/>
      <c r="V52" s="47" t="n"/>
    </row>
    <row r="53" ht="12" customHeight="1" thickBot="1">
      <c r="A53" s="106" t="n"/>
      <c r="B53" s="297" t="n"/>
      <c r="C53" s="297" t="n"/>
      <c r="D53" s="297" t="n"/>
      <c r="E53" s="297" t="n"/>
      <c r="F53" s="297" t="n"/>
      <c r="G53" s="297" t="n"/>
      <c r="H53" s="297" t="n"/>
      <c r="I53" s="298" t="n"/>
      <c r="J53" s="322" t="n"/>
      <c r="K53" s="322" t="n"/>
      <c r="L53" s="318" t="n"/>
      <c r="M53" s="321" t="n"/>
      <c r="N53" s="318" t="n"/>
      <c r="O53" s="47" t="n"/>
      <c r="P53" s="47" t="n"/>
      <c r="Q53" s="47" t="n"/>
      <c r="R53" s="47" t="n"/>
      <c r="S53" s="47" t="n"/>
      <c r="T53" s="47" t="n"/>
      <c r="U53" s="47" t="n"/>
      <c r="V53" s="47" t="n"/>
    </row>
    <row r="54" ht="12" customHeight="1">
      <c r="A54" s="106" t="n"/>
      <c r="B54" s="297" t="n"/>
      <c r="C54" s="297" t="n"/>
      <c r="D54" s="297" t="n"/>
      <c r="E54" s="297" t="n"/>
      <c r="F54" s="297" t="n"/>
      <c r="G54" s="297" t="n"/>
      <c r="H54" s="297" t="n"/>
      <c r="I54" s="298" t="n"/>
      <c r="J54" s="362" t="inlineStr">
        <is>
          <t>SALDO TOTAL</t>
        </is>
      </c>
      <c r="K54" s="354" t="n"/>
      <c r="L54" s="355" t="n"/>
      <c r="M54" s="356">
        <f>SUM(M50:N53)</f>
        <v/>
      </c>
      <c r="N54" s="355" t="n"/>
      <c r="O54" s="47" t="n"/>
      <c r="P54" s="47" t="n"/>
      <c r="Q54" s="47" t="n"/>
      <c r="R54" s="47" t="n"/>
      <c r="S54" s="47" t="n"/>
      <c r="T54" s="47" t="n"/>
      <c r="U54" s="47" t="n"/>
      <c r="V54" s="47" t="n"/>
    </row>
    <row r="55" ht="12" customHeight="1" thickBot="1">
      <c r="A55" s="106" t="n"/>
      <c r="B55" s="297" t="n"/>
      <c r="C55" s="297" t="n"/>
      <c r="D55" s="297" t="n"/>
      <c r="E55" s="297" t="n"/>
      <c r="F55" s="297" t="n"/>
      <c r="G55" s="297" t="n"/>
      <c r="H55" s="297" t="n"/>
      <c r="I55" s="298" t="n"/>
      <c r="J55" s="322" t="n"/>
      <c r="K55" s="322" t="n"/>
      <c r="L55" s="318" t="n"/>
      <c r="M55" s="321" t="n"/>
      <c r="N55" s="318" t="n"/>
      <c r="O55" s="47" t="n"/>
      <c r="P55" s="47" t="n"/>
      <c r="Q55" s="47" t="n"/>
      <c r="R55" s="47" t="n"/>
      <c r="S55" s="47" t="n"/>
      <c r="T55" s="47" t="n"/>
      <c r="U55" s="47" t="n"/>
      <c r="V55" s="47" t="n"/>
    </row>
    <row r="56" ht="12" customHeight="1" thickBot="1">
      <c r="A56" s="106" t="n"/>
      <c r="B56" s="297" t="n"/>
      <c r="C56" s="297" t="n"/>
      <c r="D56" s="297" t="n"/>
      <c r="E56" s="297" t="n"/>
      <c r="F56" s="297" t="n"/>
      <c r="G56" s="297" t="n"/>
      <c r="H56" s="297" t="n"/>
      <c r="I56" s="298" t="n"/>
      <c r="J56" s="357" t="inlineStr">
        <is>
          <t>SALDO: CREDOR? DEVEDOR?</t>
        </is>
      </c>
      <c r="K56" s="354" t="n"/>
      <c r="L56" s="355" t="n"/>
      <c r="M56" s="363">
        <f>IF(M54&lt;0,"DVEEDOR","CREDOR")</f>
        <v/>
      </c>
      <c r="N56" s="355" t="n"/>
      <c r="O56" s="47" t="n"/>
      <c r="P56" s="47" t="n"/>
      <c r="Q56" s="47" t="n"/>
      <c r="R56" s="47" t="n"/>
      <c r="S56" s="47" t="n"/>
      <c r="T56" s="47" t="n"/>
      <c r="U56" s="47" t="n"/>
      <c r="V56" s="47" t="n"/>
    </row>
    <row r="57" ht="12" customHeight="1" thickBot="1">
      <c r="A57" s="106" t="n"/>
      <c r="B57" s="297" t="n"/>
      <c r="C57" s="297" t="n"/>
      <c r="D57" s="297" t="n"/>
      <c r="E57" s="297" t="n"/>
      <c r="F57" s="297" t="n"/>
      <c r="G57" s="297" t="n"/>
      <c r="H57" s="297" t="n"/>
      <c r="I57" s="298" t="n"/>
      <c r="J57" s="322" t="n"/>
      <c r="K57" s="322" t="n"/>
      <c r="L57" s="318" t="n"/>
      <c r="M57" s="321" t="n"/>
      <c r="N57" s="318" t="n"/>
      <c r="O57" s="47" t="n"/>
      <c r="P57" s="47" t="n"/>
      <c r="Q57" s="47" t="n"/>
      <c r="R57" s="47" t="n"/>
      <c r="S57" s="47" t="n"/>
      <c r="T57" s="47" t="n"/>
      <c r="U57" s="47" t="n"/>
      <c r="V57" s="47" t="n"/>
    </row>
    <row r="58" ht="12" customHeight="1">
      <c r="A58" s="106" t="n"/>
      <c r="B58" s="297" t="n"/>
      <c r="C58" s="297" t="n"/>
      <c r="D58" s="297" t="n"/>
      <c r="E58" s="297" t="n"/>
      <c r="F58" s="297" t="n"/>
      <c r="G58" s="297" t="n"/>
      <c r="H58" s="297" t="n"/>
      <c r="I58" s="298" t="n"/>
      <c r="J58" s="260" t="n"/>
      <c r="K58" s="354" t="n"/>
      <c r="L58" s="355" t="n"/>
      <c r="M58" s="364" t="n"/>
      <c r="N58" s="355" t="n"/>
      <c r="O58" s="47" t="n"/>
      <c r="P58" s="47" t="n"/>
      <c r="Q58" s="47" t="n"/>
      <c r="R58" s="47" t="n"/>
      <c r="S58" s="47" t="n"/>
      <c r="T58" s="47" t="n"/>
      <c r="U58" s="47" t="n"/>
      <c r="V58" s="47" t="n"/>
    </row>
    <row r="59" ht="12" customHeight="1" thickBot="1">
      <c r="A59" s="106" t="n"/>
      <c r="B59" s="297" t="n"/>
      <c r="C59" s="297" t="n"/>
      <c r="D59" s="297" t="n"/>
      <c r="E59" s="297" t="n"/>
      <c r="F59" s="297" t="n"/>
      <c r="G59" s="297" t="n"/>
      <c r="H59" s="297" t="n"/>
      <c r="I59" s="298" t="n"/>
      <c r="J59" s="322" t="n"/>
      <c r="K59" s="322" t="n"/>
      <c r="L59" s="318" t="n"/>
      <c r="M59" s="321" t="n"/>
      <c r="N59" s="318" t="n"/>
      <c r="O59" s="47" t="n"/>
      <c r="P59" s="47" t="n"/>
      <c r="Q59" s="47" t="n"/>
      <c r="R59" s="47" t="n"/>
      <c r="S59" s="47" t="n"/>
      <c r="T59" s="47" t="n"/>
      <c r="U59" s="47" t="n"/>
      <c r="V59" s="47" t="n"/>
    </row>
    <row r="60" ht="12" customHeight="1" thickBot="1">
      <c r="A60" s="116" t="n"/>
      <c r="B60" s="312" t="n"/>
      <c r="C60" s="312" t="n"/>
      <c r="D60" s="312" t="n"/>
      <c r="E60" s="312" t="n"/>
      <c r="F60" s="312" t="n"/>
      <c r="G60" s="312" t="n"/>
      <c r="H60" s="312" t="n"/>
      <c r="I60" s="313" t="n"/>
      <c r="J60" s="111" t="n"/>
      <c r="K60" s="322" t="n"/>
      <c r="L60" s="318" t="n"/>
      <c r="M60" s="394" t="n"/>
      <c r="N60" s="318" t="n"/>
      <c r="O60" s="47" t="n"/>
      <c r="P60" s="47" t="n"/>
      <c r="Q60" s="47" t="n"/>
      <c r="R60" s="47" t="n"/>
      <c r="S60" s="47" t="n"/>
      <c r="T60" s="47" t="n"/>
      <c r="U60" s="47" t="n"/>
      <c r="V60" s="47" t="n"/>
    </row>
    <row r="61">
      <c r="A61" s="51" t="n"/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1" t="n"/>
      <c r="L61" s="104" t="inlineStr">
        <is>
          <t>Colaboração do Tônio</t>
        </is>
      </c>
      <c r="M61" s="354" t="n"/>
      <c r="N61" s="354" t="n"/>
      <c r="O61" s="47" t="n"/>
      <c r="P61" s="47" t="n"/>
      <c r="Q61" s="47" t="n"/>
      <c r="R61" s="47" t="n"/>
      <c r="S61" s="47" t="n"/>
      <c r="T61" s="47" t="n"/>
      <c r="U61" s="47" t="n"/>
      <c r="V61" s="47" t="n"/>
    </row>
    <row r="62">
      <c r="O62" s="47" t="n"/>
      <c r="P62" s="47" t="n"/>
      <c r="Q62" s="47" t="n"/>
      <c r="R62" s="47" t="n"/>
      <c r="S62" s="47" t="n"/>
      <c r="T62" s="47" t="n"/>
      <c r="U62" s="47" t="n"/>
      <c r="V62" s="47" t="n"/>
    </row>
  </sheetData>
  <mergeCells count="93">
    <mergeCell ref="A12:E13"/>
    <mergeCell ref="C31:E31"/>
    <mergeCell ref="J10:K10"/>
    <mergeCell ref="C40:E40"/>
    <mergeCell ref="A56:I56"/>
    <mergeCell ref="C21:E21"/>
    <mergeCell ref="M60:N60"/>
    <mergeCell ref="A7:B7"/>
    <mergeCell ref="C23:E23"/>
    <mergeCell ref="A53:I53"/>
    <mergeCell ref="R12:S12"/>
    <mergeCell ref="C45:I45"/>
    <mergeCell ref="C18:E18"/>
    <mergeCell ref="M58:N59"/>
    <mergeCell ref="L61:N61"/>
    <mergeCell ref="C34:E34"/>
    <mergeCell ref="A48:I48"/>
    <mergeCell ref="C42:E42"/>
    <mergeCell ref="J45:M45"/>
    <mergeCell ref="A59:I59"/>
    <mergeCell ref="J54:L55"/>
    <mergeCell ref="C20:E20"/>
    <mergeCell ref="J56:L57"/>
    <mergeCell ref="C25:E25"/>
    <mergeCell ref="M46:N47"/>
    <mergeCell ref="J46:L47"/>
    <mergeCell ref="A46:I46"/>
    <mergeCell ref="C8:I8"/>
    <mergeCell ref="A11:B11"/>
    <mergeCell ref="C22:E22"/>
    <mergeCell ref="A45:B45"/>
    <mergeCell ref="L8:N8"/>
    <mergeCell ref="C39:E39"/>
    <mergeCell ref="C32:E32"/>
    <mergeCell ref="C38:E38"/>
    <mergeCell ref="A52:I52"/>
    <mergeCell ref="A3:N3"/>
    <mergeCell ref="A5:N5"/>
    <mergeCell ref="A8:B8"/>
    <mergeCell ref="C15:E15"/>
    <mergeCell ref="F11:H11"/>
    <mergeCell ref="C24:E24"/>
    <mergeCell ref="H12:I12"/>
    <mergeCell ref="C33:E33"/>
    <mergeCell ref="J12:K12"/>
    <mergeCell ref="A49:I49"/>
    <mergeCell ref="A4:N4"/>
    <mergeCell ref="J60:L60"/>
    <mergeCell ref="C26:E26"/>
    <mergeCell ref="C35:E35"/>
    <mergeCell ref="C16:E16"/>
    <mergeCell ref="K9:L9"/>
    <mergeCell ref="C7:I7"/>
    <mergeCell ref="A55:I55"/>
    <mergeCell ref="K6:N6"/>
    <mergeCell ref="C11:E11"/>
    <mergeCell ref="C36:E36"/>
    <mergeCell ref="A57:I57"/>
    <mergeCell ref="J48:L49"/>
    <mergeCell ref="M56:N57"/>
    <mergeCell ref="C28:E28"/>
    <mergeCell ref="C37:E37"/>
    <mergeCell ref="A2:N2"/>
    <mergeCell ref="C10:I10"/>
    <mergeCell ref="C30:E30"/>
    <mergeCell ref="M48:N49"/>
    <mergeCell ref="C14:E14"/>
    <mergeCell ref="C9:I9"/>
    <mergeCell ref="I11:N11"/>
    <mergeCell ref="P12:Q12"/>
    <mergeCell ref="M54:N55"/>
    <mergeCell ref="J50:L51"/>
    <mergeCell ref="C41:E41"/>
    <mergeCell ref="J58:L59"/>
    <mergeCell ref="J52:L53"/>
    <mergeCell ref="A50:I50"/>
    <mergeCell ref="C43:E43"/>
    <mergeCell ref="A6:B6"/>
    <mergeCell ref="F12:G12"/>
    <mergeCell ref="C27:E27"/>
    <mergeCell ref="A47:I47"/>
    <mergeCell ref="C17:E17"/>
    <mergeCell ref="C6:I6"/>
    <mergeCell ref="M52:N53"/>
    <mergeCell ref="C19:E19"/>
    <mergeCell ref="J7:K7"/>
    <mergeCell ref="M50:N51"/>
    <mergeCell ref="A58:I58"/>
    <mergeCell ref="A51:I51"/>
    <mergeCell ref="A60:I60"/>
    <mergeCell ref="C29:E29"/>
    <mergeCell ref="A44:K44"/>
    <mergeCell ref="A54:I54"/>
  </mergeCells>
  <conditionalFormatting sqref="A14:A43">
    <cfRule type="containsText" priority="39" operator="containsText" dxfId="25" stopIfTrue="1" text="F">
      <formula>NOT(ISERROR(SEARCH("F",A14)))</formula>
    </cfRule>
  </conditionalFormatting>
  <conditionalFormatting sqref="C14:E43">
    <cfRule type="cellIs" priority="37" operator="equal" dxfId="11" stopIfTrue="1">
      <formula>2</formula>
    </cfRule>
    <cfRule type="cellIs" priority="38" operator="equal" dxfId="11" stopIfTrue="1">
      <formula>8</formula>
    </cfRule>
  </conditionalFormatting>
  <conditionalFormatting sqref="L44">
    <cfRule type="cellIs" priority="32" operator="equal" dxfId="10" stopIfTrue="1">
      <formula>0</formula>
    </cfRule>
  </conditionalFormatting>
  <conditionalFormatting sqref="L14:M43">
    <cfRule type="cellIs" priority="34" operator="equal" dxfId="10" stopIfTrue="1">
      <formula>0</formula>
    </cfRule>
  </conditionalFormatting>
  <conditionalFormatting sqref="L14:N44">
    <cfRule type="cellIs" priority="33" operator="greaterThan" dxfId="10" stopIfTrue="1">
      <formula>0</formula>
    </cfRule>
    <cfRule type="cellIs" priority="35" operator="lessThan" dxfId="11" stopIfTrue="1">
      <formula>0</formula>
    </cfRule>
  </conditionalFormatting>
  <conditionalFormatting sqref="M46:N47">
    <cfRule type="cellIs" priority="28" operator="equal" dxfId="10" stopIfTrue="1">
      <formula>0</formula>
    </cfRule>
  </conditionalFormatting>
  <conditionalFormatting sqref="M46:N51 M52 M54 M56:N57 M58">
    <cfRule type="cellIs" priority="30" operator="greaterThan" dxfId="10" stopIfTrue="1">
      <formula>0</formula>
    </cfRule>
    <cfRule type="cellIs" priority="31" operator="lessThan" dxfId="11" stopIfTrue="1">
      <formula>0</formula>
    </cfRule>
  </conditionalFormatting>
  <conditionalFormatting sqref="M50:N51 M52 M54">
    <cfRule type="cellIs" priority="29" operator="equal" dxfId="14" stopIfTrue="1">
      <formula>0</formula>
    </cfRule>
  </conditionalFormatting>
  <conditionalFormatting sqref="M56:N57 M58">
    <cfRule type="cellIs" priority="25" operator="equal" dxfId="13" stopIfTrue="1">
      <formula>0</formula>
    </cfRule>
  </conditionalFormatting>
  <conditionalFormatting sqref="N14:N43">
    <cfRule type="cellIs" priority="36" operator="equal" dxfId="10" stopIfTrue="1">
      <formula>0</formula>
    </cfRule>
  </conditionalFormatting>
  <conditionalFormatting sqref="N14:N44">
    <cfRule type="cellIs" priority="40" operator="equal" dxfId="4" stopIfTrue="1">
      <formula>0</formula>
    </cfRule>
  </conditionalFormatting>
  <pageMargins left="0" right="0" top="0.7874015748031497" bottom="0.5905511811023623" header="0.3149606299212598" footer="0.3149606299212598"/>
  <pageSetup orientation="portrait" paperSize="9" scale="8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2"/>
  <sheetViews>
    <sheetView topLeftCell="A28" workbookViewId="0">
      <selection activeCell="F14" sqref="F14:I44"/>
    </sheetView>
  </sheetViews>
  <sheetFormatPr baseColWidth="8" defaultRowHeight="15"/>
  <cols>
    <col width="4.28515625" customWidth="1" min="5" max="5"/>
    <col width="11.28515625" customWidth="1" min="16" max="16"/>
    <col width="12.140625" customWidth="1" min="19" max="19"/>
    <col hidden="1" width="12.140625" customWidth="1" min="20" max="20"/>
    <col width="12.140625" customWidth="1" min="21" max="21"/>
  </cols>
  <sheetData>
    <row r="1">
      <c r="A1" s="52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4" t="n"/>
    </row>
    <row r="2" ht="15.75" customHeight="1">
      <c r="A2" s="286" t="inlineStr">
        <is>
          <t>GOVERNO DO ESTADO DO ESPÍRITO SANTO</t>
        </is>
      </c>
      <c r="N2" s="287" t="n"/>
    </row>
    <row r="3" ht="19.5" customHeight="1">
      <c r="A3" s="286" t="inlineStr">
        <is>
          <t>SUPERINTENDÊNCIA REGIONAL DE EDUCAÇÃO DE CARAPINA</t>
        </is>
      </c>
      <c r="N3" s="287" t="n"/>
    </row>
    <row r="4" ht="25.5" customHeight="1">
      <c r="A4" s="288" t="inlineStr">
        <is>
          <t>CARTÃO DE PONTO</t>
        </is>
      </c>
      <c r="N4" s="287" t="n"/>
      <c r="Q4" s="289" t="n">
        <v>0</v>
      </c>
      <c r="R4" t="inlineStr">
        <is>
          <t>saldo anterior</t>
        </is>
      </c>
    </row>
    <row r="5" ht="6.75" customHeight="1" thickBot="1">
      <c r="A5" s="290" t="n"/>
      <c r="N5" s="287" t="n"/>
    </row>
    <row r="6" ht="15.75" customHeight="1">
      <c r="A6" s="186" t="inlineStr">
        <is>
          <t xml:space="preserve">NOME: </t>
        </is>
      </c>
      <c r="B6" s="291" t="n"/>
      <c r="C6" s="188">
        <f>JAN!C6:I6</f>
        <v/>
      </c>
      <c r="D6" s="292" t="n"/>
      <c r="E6" s="292" t="n"/>
      <c r="F6" s="292" t="n"/>
      <c r="G6" s="292" t="n"/>
      <c r="H6" s="292" t="n"/>
      <c r="I6" s="293" t="n"/>
      <c r="J6" s="1" t="inlineStr">
        <is>
          <t>MÊS:</t>
        </is>
      </c>
      <c r="K6" s="294" t="n">
        <v>43585</v>
      </c>
      <c r="L6" s="292" t="n"/>
      <c r="M6" s="292" t="n"/>
      <c r="N6" s="293" t="n"/>
    </row>
    <row r="7">
      <c r="A7" s="295" t="inlineStr">
        <is>
          <t>CARGO:</t>
        </is>
      </c>
      <c r="B7" s="296" t="n"/>
      <c r="C7" s="203">
        <f>JAN!C7:I7</f>
        <v/>
      </c>
      <c r="D7" s="297" t="n"/>
      <c r="E7" s="297" t="n"/>
      <c r="F7" s="297" t="n"/>
      <c r="G7" s="297" t="n"/>
      <c r="H7" s="297" t="n"/>
      <c r="I7" s="298" t="n"/>
      <c r="J7" s="299" t="inlineStr">
        <is>
          <t>CH DIÁRIA:</t>
        </is>
      </c>
      <c r="K7" s="296" t="n"/>
      <c r="L7" s="300">
        <f>JAN!L7</f>
        <v/>
      </c>
      <c r="M7" s="301">
        <f>JAN!M7</f>
        <v/>
      </c>
      <c r="N7" s="302">
        <f>JAN!N7</f>
        <v/>
      </c>
    </row>
    <row r="8" ht="16.5" customHeight="1">
      <c r="A8" s="295" t="inlineStr">
        <is>
          <t>FUNÇÃO:</t>
        </is>
      </c>
      <c r="B8" s="296" t="n"/>
      <c r="C8" s="303">
        <f>JAN!C8:I8</f>
        <v/>
      </c>
      <c r="D8" s="297" t="n"/>
      <c r="E8" s="297" t="n"/>
      <c r="F8" s="297" t="n"/>
      <c r="G8" s="297" t="n"/>
      <c r="H8" s="297" t="n"/>
      <c r="I8" s="298" t="n"/>
      <c r="J8" s="4" t="inlineStr">
        <is>
          <t>DIAS ÚTEIS:</t>
        </is>
      </c>
      <c r="K8" s="5" t="n"/>
      <c r="L8" s="304">
        <f>COUNTIF(A14:A43,"U")</f>
        <v/>
      </c>
      <c r="M8" s="305" t="n"/>
      <c r="N8" s="306" t="n"/>
    </row>
    <row r="9" ht="16.5" customHeight="1">
      <c r="A9" s="2" t="inlineStr">
        <is>
          <t>EMPRESA:</t>
        </is>
      </c>
      <c r="B9" s="3" t="n"/>
      <c r="C9" s="129">
        <f>JAN!C9:I9</f>
        <v/>
      </c>
      <c r="D9" s="297" t="n"/>
      <c r="E9" s="297" t="n"/>
      <c r="F9" s="297" t="n"/>
      <c r="G9" s="297" t="n"/>
      <c r="H9" s="297" t="n"/>
      <c r="I9" s="298" t="n"/>
      <c r="J9" s="4" t="inlineStr">
        <is>
          <t>CNPJ:</t>
        </is>
      </c>
      <c r="K9" s="307">
        <f>JAN!K9:L9</f>
        <v/>
      </c>
      <c r="L9" s="296" t="n"/>
      <c r="M9" s="38" t="inlineStr">
        <is>
          <t>EXERCÍCIO:</t>
        </is>
      </c>
      <c r="N9" s="42" t="n">
        <v>2021</v>
      </c>
      <c r="P9" t="inlineStr">
        <is>
          <t>U: DIA ÚTIL</t>
        </is>
      </c>
    </row>
    <row r="10" ht="16.5" customHeight="1">
      <c r="A10" s="2" t="inlineStr">
        <is>
          <t>LOCALIZAÇÃO:</t>
        </is>
      </c>
      <c r="B10" s="3" t="n"/>
      <c r="C10" s="203">
        <f>JAN!C10:I10</f>
        <v/>
      </c>
      <c r="D10" s="297" t="n"/>
      <c r="E10" s="297" t="n"/>
      <c r="F10" s="297" t="n"/>
      <c r="G10" s="297" t="n"/>
      <c r="H10" s="297" t="n"/>
      <c r="I10" s="298" t="n"/>
      <c r="J10" s="395" t="inlineStr">
        <is>
          <t>NÚMERO FUNCIONAL:</t>
        </is>
      </c>
      <c r="K10" s="296" t="n"/>
      <c r="L10" s="43">
        <f>JAN!L10</f>
        <v/>
      </c>
      <c r="M10" s="37" t="inlineStr">
        <is>
          <t>VÍNCULO:</t>
        </is>
      </c>
      <c r="N10" s="44">
        <f>JAN!N10</f>
        <v/>
      </c>
      <c r="P10" t="inlineStr">
        <is>
          <t>F: SÁBADOS; DOMINGOS E FERIADOS</t>
        </is>
      </c>
    </row>
    <row r="11" ht="16.5" customHeight="1" thickBot="1">
      <c r="A11" s="309" t="inlineStr">
        <is>
          <t>REGIME JURÍDICO:</t>
        </is>
      </c>
      <c r="B11" s="310" t="n"/>
      <c r="C11" s="311">
        <f>JAN!C11:E11</f>
        <v/>
      </c>
      <c r="D11" s="312" t="n"/>
      <c r="E11" s="313" t="n"/>
      <c r="F11" s="314" t="inlineStr">
        <is>
          <t>ÓRGÃO DE EXERCÍCIO:</t>
        </is>
      </c>
      <c r="G11" s="315" t="n"/>
      <c r="H11" s="310" t="n"/>
      <c r="I11" s="316" t="inlineStr">
        <is>
          <t>Secretaria de Estado da Educação</t>
        </is>
      </c>
      <c r="J11" s="312" t="n"/>
      <c r="K11" s="312" t="n"/>
      <c r="L11" s="312" t="n"/>
      <c r="M11" s="312" t="n"/>
      <c r="N11" s="317" t="n"/>
    </row>
    <row r="12" ht="39" customHeight="1" thickBot="1">
      <c r="A12" s="168" t="inlineStr">
        <is>
          <t>DIAS DA SEMANA</t>
        </is>
      </c>
      <c r="E12" s="287" t="n"/>
      <c r="F12" s="170" t="inlineStr">
        <is>
          <t>1º TURNO</t>
        </is>
      </c>
      <c r="G12" s="318" t="n"/>
      <c r="H12" s="170" t="inlineStr">
        <is>
          <t>2º TURNO</t>
        </is>
      </c>
      <c r="I12" s="318" t="n"/>
      <c r="J12" s="170" t="inlineStr">
        <is>
          <t>3º TURNO</t>
        </is>
      </c>
      <c r="K12" s="318" t="n"/>
      <c r="L12" s="6" t="inlineStr">
        <is>
          <t xml:space="preserve">HORAS TRABALHADAS </t>
        </is>
      </c>
      <c r="M12" s="6" t="inlineStr">
        <is>
          <t>CH PADRÃO</t>
        </is>
      </c>
      <c r="N12" s="6" t="inlineStr">
        <is>
          <t xml:space="preserve">SALDO </t>
        </is>
      </c>
      <c r="O12" s="47" t="n"/>
      <c r="P12" s="173" t="inlineStr">
        <is>
          <t>saldo acumulado até hoje</t>
        </is>
      </c>
      <c r="Q12" s="47" t="n"/>
      <c r="R12" s="319">
        <f>SUM(U14:U44)+SUM(FEV!U44)+SUM(MAR!U14:U44)+SUM(ABR!U14:U44)+SUM(MAIO!U14:U44)+SUM(JUN!U14:U44)+SUM(JUL!U14:U44)+SUM(AGO!U14:U44)+SUM(SET!U14:U44)+SUM(OUT!U14:U44)+SUM(NOV!U14:U44)+SUM(DEZ!U14:U44)</f>
        <v/>
      </c>
      <c r="S12" s="320" t="n"/>
      <c r="U12" s="66">
        <f>TODAY()</f>
        <v/>
      </c>
    </row>
    <row r="13" ht="26.25" customHeight="1" thickBot="1">
      <c r="A13" s="321" t="n"/>
      <c r="B13" s="322" t="n"/>
      <c r="C13" s="322" t="n"/>
      <c r="D13" s="322" t="n"/>
      <c r="E13" s="318" t="n"/>
      <c r="F13" s="7" t="inlineStr">
        <is>
          <t>ENTRADA MANHÃ</t>
        </is>
      </c>
      <c r="G13" s="7" t="inlineStr">
        <is>
          <t>SAÍDA MANHÃ</t>
        </is>
      </c>
      <c r="H13" s="7" t="inlineStr">
        <is>
          <t>ENTRADA TARDE</t>
        </is>
      </c>
      <c r="I13" s="7" t="inlineStr">
        <is>
          <t>SAÍDA DA TARDE</t>
        </is>
      </c>
      <c r="J13" s="7" t="inlineStr">
        <is>
          <t>ENTRADA EXTRA</t>
        </is>
      </c>
      <c r="K13" s="7" t="inlineStr">
        <is>
          <t>SAÍDA EXTRA</t>
        </is>
      </c>
      <c r="L13" s="8" t="inlineStr">
        <is>
          <t>POR DIA</t>
        </is>
      </c>
      <c r="M13" s="8" t="inlineStr">
        <is>
          <t>DIÁRIA</t>
        </is>
      </c>
      <c r="N13" s="8" t="inlineStr">
        <is>
          <t>DIÁRIO</t>
        </is>
      </c>
      <c r="O13" s="47" t="n"/>
    </row>
    <row r="14" ht="16.5" customHeight="1" thickBot="1">
      <c r="A14" s="17" t="inlineStr">
        <is>
          <t>F</t>
        </is>
      </c>
      <c r="B14" s="45">
        <f>K6</f>
        <v/>
      </c>
      <c r="C14" s="390">
        <f>WEEKDAY(B14)+1</f>
        <v/>
      </c>
      <c r="D14" s="351" t="n"/>
      <c r="E14" s="291" t="n"/>
      <c r="F14" s="391" t="n">
        <v>0</v>
      </c>
      <c r="G14" s="391" t="n">
        <v>0</v>
      </c>
      <c r="H14" s="391" t="n">
        <v>0</v>
      </c>
      <c r="I14" s="391" t="n">
        <v>0</v>
      </c>
      <c r="J14" s="374" t="n"/>
      <c r="K14" s="328" t="n"/>
      <c r="L14" s="329">
        <f>IF(A14="U",(G14-F14)+(I14-H14)+(K14-J14),"NÃO ÚTIL")</f>
        <v/>
      </c>
      <c r="M14" s="330">
        <f>IF(A14="U",L7,"NÃO ÚTIL")</f>
        <v/>
      </c>
      <c r="N14" s="331">
        <f>IF(A14="U",(L14-M14),"NÃO ÚTIL")</f>
        <v/>
      </c>
      <c r="O14" s="47" t="n"/>
      <c r="P14" s="332">
        <f>IF(N14="não útil",0,N14)</f>
        <v/>
      </c>
      <c r="Q14" s="332">
        <f>P14</f>
        <v/>
      </c>
      <c r="R14" s="332">
        <f>Q14+$Q$4</f>
        <v/>
      </c>
      <c r="S14" s="47">
        <f>IF(B14=T14,"HOJE",".")</f>
        <v/>
      </c>
      <c r="T14" s="62">
        <f>TODAY()</f>
        <v/>
      </c>
      <c r="U14" s="332">
        <f>IF(S14="HOJE",R14,0)</f>
        <v/>
      </c>
      <c r="V14" s="47" t="n"/>
    </row>
    <row r="15" ht="16.5" customHeight="1" thickBot="1">
      <c r="A15" s="17" t="inlineStr">
        <is>
          <t>F</t>
        </is>
      </c>
      <c r="B15" s="46">
        <f>B14+1</f>
        <v/>
      </c>
      <c r="C15" s="393">
        <f>WEEKDAY(B15)+1</f>
        <v/>
      </c>
      <c r="D15" s="305" t="n"/>
      <c r="E15" s="296" t="n"/>
      <c r="F15" s="391" t="n">
        <v>0</v>
      </c>
      <c r="G15" s="391" t="n">
        <v>0</v>
      </c>
      <c r="H15" s="391" t="n">
        <v>0</v>
      </c>
      <c r="I15" s="391" t="n">
        <v>0</v>
      </c>
      <c r="J15" s="376" t="n"/>
      <c r="K15" s="336" t="n"/>
      <c r="L15" s="329">
        <f>IF(A15="U",(G15-F15)+(I15-H15)+(K15-J15),"NÃO ÚTIL")</f>
        <v/>
      </c>
      <c r="M15" s="330">
        <f>IF(A15="U",L7,"NÃO ÚTIL")</f>
        <v/>
      </c>
      <c r="N15" s="331">
        <f>IF(A15="U",(L15-M15),"NÃO ÚTIL")</f>
        <v/>
      </c>
      <c r="O15" s="337" t="n"/>
      <c r="P15" s="332">
        <f>IF(N15="não útil",0,N15)</f>
        <v/>
      </c>
      <c r="Q15" s="337">
        <f>P15+Q14</f>
        <v/>
      </c>
      <c r="R15" s="332">
        <f>Q15+$Q$4</f>
        <v/>
      </c>
      <c r="S15" s="47">
        <f>IF(B15=T15,"HOJE",".")</f>
        <v/>
      </c>
      <c r="T15" s="62">
        <f>TODAY()</f>
        <v/>
      </c>
      <c r="U15" s="332">
        <f>IF(S15="HOJE",R15,0)</f>
        <v/>
      </c>
      <c r="V15" s="47" t="n"/>
    </row>
    <row r="16" ht="16.5" customHeight="1" thickBot="1">
      <c r="A16" s="17" t="inlineStr">
        <is>
          <t>F</t>
        </is>
      </c>
      <c r="B16" s="46">
        <f>B15+1</f>
        <v/>
      </c>
      <c r="C16" s="393">
        <f>WEEKDAY(B16)+1</f>
        <v/>
      </c>
      <c r="D16" s="305" t="n"/>
      <c r="E16" s="296" t="n"/>
      <c r="F16" s="391" t="n">
        <v>0</v>
      </c>
      <c r="G16" s="391" t="n">
        <v>0</v>
      </c>
      <c r="H16" s="391" t="n">
        <v>0</v>
      </c>
      <c r="I16" s="391" t="n">
        <v>0</v>
      </c>
      <c r="J16" s="377" t="n"/>
      <c r="K16" s="339" t="n"/>
      <c r="L16" s="329">
        <f>IF(A16="U",(G16-F16)+(I16-H16)+(K16-J16),"NÃO ÚTIL")</f>
        <v/>
      </c>
      <c r="M16" s="330">
        <f>IF(A16="U",L7,"NÃO ÚTIL")</f>
        <v/>
      </c>
      <c r="N16" s="331">
        <f>IF(A16="U",(L16-M16),"NÃO ÚTIL")</f>
        <v/>
      </c>
      <c r="O16" s="337" t="n"/>
      <c r="P16" s="332">
        <f>IF(N16="não útil",0,N16)</f>
        <v/>
      </c>
      <c r="Q16" s="337">
        <f>P16+Q15</f>
        <v/>
      </c>
      <c r="R16" s="332">
        <f>Q16+$Q$4</f>
        <v/>
      </c>
      <c r="S16" s="47">
        <f>IF(B16=T16,"HOJE",".")</f>
        <v/>
      </c>
      <c r="T16" s="62">
        <f>TODAY()</f>
        <v/>
      </c>
      <c r="U16" s="332">
        <f>IF(S16="HOJE",R16,0)</f>
        <v/>
      </c>
      <c r="V16" s="47" t="n"/>
    </row>
    <row r="17" ht="16.5" customHeight="1" thickBot="1">
      <c r="A17" s="17">
        <f>IF(OR(C17=2,C17=8),"F","U")</f>
        <v/>
      </c>
      <c r="B17" s="46">
        <f>B16+1</f>
        <v/>
      </c>
      <c r="C17" s="393">
        <f>WEEKDAY(B17)+1</f>
        <v/>
      </c>
      <c r="D17" s="305" t="n"/>
      <c r="E17" s="296" t="n"/>
      <c r="F17" s="391" t="n">
        <v>0</v>
      </c>
      <c r="G17" s="391" t="n">
        <v>0</v>
      </c>
      <c r="H17" s="391" t="n">
        <v>0</v>
      </c>
      <c r="I17" s="391" t="n">
        <v>0</v>
      </c>
      <c r="J17" s="378" t="n"/>
      <c r="K17" s="341" t="n"/>
      <c r="L17" s="329">
        <f>IF(A17="U",(G17-F17)+(I17-H17)+(K17-J17),"NÃO ÚTIL")</f>
        <v/>
      </c>
      <c r="M17" s="330">
        <f>IF(A17="U",L7,"NÃO ÚTIL")</f>
        <v/>
      </c>
      <c r="N17" s="331">
        <f>IF(A17="U",(L17-M17),"NÃO ÚTIL")</f>
        <v/>
      </c>
      <c r="O17" s="47" t="n"/>
      <c r="P17" s="332">
        <f>IF(N17="não útil",0,N17)</f>
        <v/>
      </c>
      <c r="Q17" s="337">
        <f>P17+Q16</f>
        <v/>
      </c>
      <c r="R17" s="332">
        <f>Q17+$Q$4</f>
        <v/>
      </c>
      <c r="S17" s="47">
        <f>IF(B17=T17,"HOJE",".")</f>
        <v/>
      </c>
      <c r="T17" s="62">
        <f>TODAY()</f>
        <v/>
      </c>
      <c r="U17" s="332">
        <f>IF(S17="HOJE",R17,0)</f>
        <v/>
      </c>
      <c r="V17" s="47" t="n"/>
    </row>
    <row r="18" ht="16.5" customHeight="1" thickBot="1">
      <c r="A18" s="17">
        <f>IF(OR(C18=2,C18=8),"F","U")</f>
        <v/>
      </c>
      <c r="B18" s="46">
        <f>B17+1</f>
        <v/>
      </c>
      <c r="C18" s="393">
        <f>WEEKDAY(B18)+1</f>
        <v/>
      </c>
      <c r="D18" s="305" t="n"/>
      <c r="E18" s="296" t="n"/>
      <c r="F18" s="391" t="n">
        <v>0</v>
      </c>
      <c r="G18" s="391" t="n">
        <v>0</v>
      </c>
      <c r="H18" s="391" t="n">
        <v>0</v>
      </c>
      <c r="I18" s="391" t="n">
        <v>0</v>
      </c>
      <c r="J18" s="377" t="n"/>
      <c r="K18" s="339" t="n"/>
      <c r="L18" s="329">
        <f>IF(A18="U",(G18-F18)+(I18-H18)+(K18-J18),"NÃO ÚTIL")</f>
        <v/>
      </c>
      <c r="M18" s="330">
        <f>IF(A18="U",L7,"NÃO ÚTIL")</f>
        <v/>
      </c>
      <c r="N18" s="331">
        <f>IF(A18="U",(L18-M18),"NÃO ÚTIL")</f>
        <v/>
      </c>
      <c r="O18" s="47" t="n"/>
      <c r="P18" s="332">
        <f>IF(N18="não útil",0,N18)</f>
        <v/>
      </c>
      <c r="Q18" s="337">
        <f>P18+Q17</f>
        <v/>
      </c>
      <c r="R18" s="332">
        <f>Q18+$Q$4</f>
        <v/>
      </c>
      <c r="S18" s="47">
        <f>IF(B18=T18,"HOJE",".")</f>
        <v/>
      </c>
      <c r="T18" s="62">
        <f>TODAY()</f>
        <v/>
      </c>
      <c r="U18" s="332">
        <f>IF(S18="HOJE",R18,0)</f>
        <v/>
      </c>
      <c r="V18" s="47" t="n"/>
    </row>
    <row r="19" ht="16.5" customHeight="1" thickBot="1">
      <c r="A19" s="17">
        <f>IF(OR(C19=2,C19=8),"F","U")</f>
        <v/>
      </c>
      <c r="B19" s="46">
        <f>B18+1</f>
        <v/>
      </c>
      <c r="C19" s="393">
        <f>WEEKDAY(B19)+1</f>
        <v/>
      </c>
      <c r="D19" s="305" t="n"/>
      <c r="E19" s="296" t="n"/>
      <c r="F19" s="391" t="n">
        <v>0</v>
      </c>
      <c r="G19" s="391" t="n">
        <v>0</v>
      </c>
      <c r="H19" s="391" t="n">
        <v>0</v>
      </c>
      <c r="I19" s="391" t="n">
        <v>0</v>
      </c>
      <c r="J19" s="376" t="n"/>
      <c r="K19" s="336" t="n"/>
      <c r="L19" s="329">
        <f>IF(A19="U",(G19-F19)+(I19-H19)+(K19-J19),"NÃO ÚTIL")</f>
        <v/>
      </c>
      <c r="M19" s="330">
        <f>IF(A19="U",L7,"NÃO ÚTIL")</f>
        <v/>
      </c>
      <c r="N19" s="331">
        <f>IF(A19="U",(L19-M19),"NÃO ÚTIL")</f>
        <v/>
      </c>
      <c r="O19" s="47" t="n"/>
      <c r="P19" s="332">
        <f>IF(N19="não útil",0,N19)</f>
        <v/>
      </c>
      <c r="Q19" s="337">
        <f>P19+Q18</f>
        <v/>
      </c>
      <c r="R19" s="332">
        <f>Q19+$Q$4</f>
        <v/>
      </c>
      <c r="S19" s="47">
        <f>IF(B19=T19,"HOJE",".")</f>
        <v/>
      </c>
      <c r="T19" s="62">
        <f>TODAY()</f>
        <v/>
      </c>
      <c r="U19" s="332">
        <f>IF(S19="HOJE",R19,0)</f>
        <v/>
      </c>
      <c r="V19" s="47" t="n"/>
    </row>
    <row r="20" ht="16.5" customHeight="1" thickBot="1">
      <c r="A20" s="17">
        <f>IF(OR(C20=2,C20=8),"F","U")</f>
        <v/>
      </c>
      <c r="B20" s="46">
        <f>B19+1</f>
        <v/>
      </c>
      <c r="C20" s="393">
        <f>WEEKDAY(B20)+1</f>
        <v/>
      </c>
      <c r="D20" s="305" t="n"/>
      <c r="E20" s="296" t="n"/>
      <c r="F20" s="391" t="n">
        <v>0</v>
      </c>
      <c r="G20" s="391" t="n">
        <v>0</v>
      </c>
      <c r="H20" s="391" t="n">
        <v>0</v>
      </c>
      <c r="I20" s="391" t="n">
        <v>0</v>
      </c>
      <c r="J20" s="376" t="n"/>
      <c r="K20" s="336" t="n"/>
      <c r="L20" s="329">
        <f>IF(A20="U",(G20-F20)+(I20-H20)+(K20-J20),"NÃO ÚTIL")</f>
        <v/>
      </c>
      <c r="M20" s="330">
        <f>IF(A20="U",L7,"NÃO ÚTIL")</f>
        <v/>
      </c>
      <c r="N20" s="331">
        <f>IF(A20="U",(L20-M20),"NÃO ÚTIL")</f>
        <v/>
      </c>
      <c r="O20" s="47" t="n"/>
      <c r="P20" s="332">
        <f>IF(N20="não útil",0,N20)</f>
        <v/>
      </c>
      <c r="Q20" s="337">
        <f>P20+Q19</f>
        <v/>
      </c>
      <c r="R20" s="332">
        <f>Q20+$Q$4</f>
        <v/>
      </c>
      <c r="S20" s="47">
        <f>IF(B20=T20,"HOJE",".")</f>
        <v/>
      </c>
      <c r="T20" s="62">
        <f>TODAY()</f>
        <v/>
      </c>
      <c r="U20" s="332">
        <f>IF(S20="HOJE",R20,0)</f>
        <v/>
      </c>
      <c r="V20" s="47" t="n"/>
    </row>
    <row r="21" ht="16.5" customHeight="1" thickBot="1">
      <c r="A21" s="17">
        <f>IF(OR(C21=2,C21=8),"F","U")</f>
        <v/>
      </c>
      <c r="B21" s="46">
        <f>B20+1</f>
        <v/>
      </c>
      <c r="C21" s="393">
        <f>WEEKDAY(B21)+1</f>
        <v/>
      </c>
      <c r="D21" s="305" t="n"/>
      <c r="E21" s="296" t="n"/>
      <c r="F21" s="391" t="n">
        <v>0</v>
      </c>
      <c r="G21" s="391" t="n">
        <v>0</v>
      </c>
      <c r="H21" s="391" t="n">
        <v>0</v>
      </c>
      <c r="I21" s="391" t="n">
        <v>0</v>
      </c>
      <c r="J21" s="378" t="n"/>
      <c r="K21" s="341" t="n"/>
      <c r="L21" s="329">
        <f>IF(A21="U",(G21-F21)+(I21-H21)+(K21-J21),"NÃO ÚTIL")</f>
        <v/>
      </c>
      <c r="M21" s="330">
        <f>IF(A21="U",L7,"NÃO ÚTIL")</f>
        <v/>
      </c>
      <c r="N21" s="331">
        <f>IF(A21="U",(L21-M21),"NÃO ÚTIL")</f>
        <v/>
      </c>
      <c r="O21" s="47" t="n"/>
      <c r="P21" s="332">
        <f>IF(N21="não útil",0,N21)</f>
        <v/>
      </c>
      <c r="Q21" s="337">
        <f>P21+Q20</f>
        <v/>
      </c>
      <c r="R21" s="332">
        <f>Q21+$Q$4</f>
        <v/>
      </c>
      <c r="S21" s="47">
        <f>IF(B21=T21,"HOJE",".")</f>
        <v/>
      </c>
      <c r="T21" s="62">
        <f>TODAY()</f>
        <v/>
      </c>
      <c r="U21" s="332">
        <f>IF(S21="HOJE",R21,0)</f>
        <v/>
      </c>
      <c r="V21" s="47" t="n"/>
    </row>
    <row r="22" ht="16.5" customHeight="1" thickBot="1">
      <c r="A22" s="17">
        <f>IF(OR(C22=2,C22=8),"F","U")</f>
        <v/>
      </c>
      <c r="B22" s="46">
        <f>B21+1</f>
        <v/>
      </c>
      <c r="C22" s="393">
        <f>WEEKDAY(B22)+1</f>
        <v/>
      </c>
      <c r="D22" s="305" t="n"/>
      <c r="E22" s="296" t="n"/>
      <c r="F22" s="391" t="n">
        <v>0</v>
      </c>
      <c r="G22" s="391" t="n">
        <v>0</v>
      </c>
      <c r="H22" s="391" t="n">
        <v>0</v>
      </c>
      <c r="I22" s="391" t="n">
        <v>0</v>
      </c>
      <c r="J22" s="377" t="n"/>
      <c r="K22" s="339" t="n"/>
      <c r="L22" s="329">
        <f>IF(A22="U",(G22-F22)+(I22-H22)+(K22-J22),"NÃO ÚTIL")</f>
        <v/>
      </c>
      <c r="M22" s="330">
        <f>IF(A22="U",L7,"NÃO ÚTIL")</f>
        <v/>
      </c>
      <c r="N22" s="331">
        <f>IF(A22="U",(L22-M22),"NÃO ÚTIL")</f>
        <v/>
      </c>
      <c r="O22" s="47" t="n"/>
      <c r="P22" s="332">
        <f>IF(N22="não útil",0,N22)</f>
        <v/>
      </c>
      <c r="Q22" s="337">
        <f>P22+Q21</f>
        <v/>
      </c>
      <c r="R22" s="332">
        <f>Q22+$Q$4</f>
        <v/>
      </c>
      <c r="S22" s="47">
        <f>IF(B22=T22,"HOJE",".")</f>
        <v/>
      </c>
      <c r="T22" s="62">
        <f>TODAY()</f>
        <v/>
      </c>
      <c r="U22" s="332">
        <f>IF(S22="HOJE",R22,0)</f>
        <v/>
      </c>
      <c r="V22" s="47" t="n"/>
    </row>
    <row r="23" ht="16.5" customHeight="1" thickBot="1">
      <c r="A23" s="17">
        <f>IF(OR(C23=2,C23=8),"F","U")</f>
        <v/>
      </c>
      <c r="B23" s="46">
        <f>B22+1</f>
        <v/>
      </c>
      <c r="C23" s="393">
        <f>WEEKDAY(B23)+1</f>
        <v/>
      </c>
      <c r="D23" s="305" t="n"/>
      <c r="E23" s="296" t="n"/>
      <c r="F23" s="391" t="n">
        <v>0</v>
      </c>
      <c r="G23" s="391" t="n">
        <v>0</v>
      </c>
      <c r="H23" s="391" t="n">
        <v>0</v>
      </c>
      <c r="I23" s="391" t="n">
        <v>0</v>
      </c>
      <c r="J23" s="376" t="n"/>
      <c r="K23" s="336" t="n"/>
      <c r="L23" s="329">
        <f>IF(A23="U",(G23-F23)+(I23-H23)+(K23-J23),"NÃO ÚTIL")</f>
        <v/>
      </c>
      <c r="M23" s="330">
        <f>IF(A23="U",L7,"NÃO ÚTIL")</f>
        <v/>
      </c>
      <c r="N23" s="331">
        <f>IF(A23="U",(L23-M23),"NÃO ÚTIL")</f>
        <v/>
      </c>
      <c r="O23" s="47" t="n"/>
      <c r="P23" s="332">
        <f>IF(N23="não útil",0,N23)</f>
        <v/>
      </c>
      <c r="Q23" s="337">
        <f>P23+Q22</f>
        <v/>
      </c>
      <c r="R23" s="332">
        <f>Q23+$Q$4</f>
        <v/>
      </c>
      <c r="S23" s="47">
        <f>IF(B23=T23,"HOJE",".")</f>
        <v/>
      </c>
      <c r="T23" s="62">
        <f>TODAY()</f>
        <v/>
      </c>
      <c r="U23" s="332">
        <f>IF(S23="HOJE",R23,0)</f>
        <v/>
      </c>
      <c r="V23" s="47" t="n"/>
    </row>
    <row r="24" ht="16.5" customHeight="1" thickBot="1">
      <c r="A24" s="17">
        <f>IF(OR(C24=2,C24=8),"F","U")</f>
        <v/>
      </c>
      <c r="B24" s="46">
        <f>B23+1</f>
        <v/>
      </c>
      <c r="C24" s="393">
        <f>WEEKDAY(B24)+1</f>
        <v/>
      </c>
      <c r="D24" s="305" t="n"/>
      <c r="E24" s="296" t="n"/>
      <c r="F24" s="391" t="n">
        <v>0</v>
      </c>
      <c r="G24" s="391" t="n">
        <v>0</v>
      </c>
      <c r="H24" s="391" t="n">
        <v>0</v>
      </c>
      <c r="I24" s="391" t="n">
        <v>0</v>
      </c>
      <c r="J24" s="377" t="n"/>
      <c r="K24" s="339" t="n"/>
      <c r="L24" s="329">
        <f>IF(A24="U",(G24-F24)+(I24-H24)+(K24-J24),"NÃO ÚTIL")</f>
        <v/>
      </c>
      <c r="M24" s="330">
        <f>IF(A24="U",L7,"NÃO ÚTIL")</f>
        <v/>
      </c>
      <c r="N24" s="331">
        <f>IF(A24="U",(L24-M24),"NÃO ÚTIL")</f>
        <v/>
      </c>
      <c r="O24" s="47" t="n"/>
      <c r="P24" s="332">
        <f>IF(N24="não útil",0,N24)</f>
        <v/>
      </c>
      <c r="Q24" s="337">
        <f>P24+Q23</f>
        <v/>
      </c>
      <c r="R24" s="332">
        <f>Q24+$Q$4</f>
        <v/>
      </c>
      <c r="S24" s="47">
        <f>IF(B24=T24,"HOJE",".")</f>
        <v/>
      </c>
      <c r="T24" s="62">
        <f>TODAY()</f>
        <v/>
      </c>
      <c r="U24" s="332">
        <f>IF(S24="HOJE",R24,0)</f>
        <v/>
      </c>
      <c r="V24" s="47" t="n"/>
    </row>
    <row r="25" ht="16.5" customHeight="1" thickBot="1">
      <c r="A25" s="17">
        <f>IF(OR(C25=2,C25=8),"F","U")</f>
        <v/>
      </c>
      <c r="B25" s="46">
        <f>B24+1</f>
        <v/>
      </c>
      <c r="C25" s="393">
        <f>WEEKDAY(B25)+1</f>
        <v/>
      </c>
      <c r="D25" s="305" t="n"/>
      <c r="E25" s="296" t="n"/>
      <c r="F25" s="391" t="n">
        <v>0</v>
      </c>
      <c r="G25" s="391" t="n">
        <v>0</v>
      </c>
      <c r="H25" s="391" t="n">
        <v>0</v>
      </c>
      <c r="I25" s="391" t="n">
        <v>0</v>
      </c>
      <c r="J25" s="376" t="n"/>
      <c r="K25" s="336" t="n"/>
      <c r="L25" s="329">
        <f>IF(A25="U",(G25-F25)+(I25-H25)+(K25-J25),"NÃO ÚTIL")</f>
        <v/>
      </c>
      <c r="M25" s="330">
        <f>IF(A25="U",L7,"NÃO ÚTIL")</f>
        <v/>
      </c>
      <c r="N25" s="331">
        <f>IF(A25="U",(L25-M25),"NÃO ÚTIL")</f>
        <v/>
      </c>
      <c r="O25" s="47" t="n"/>
      <c r="P25" s="332">
        <f>IF(N25="não útil",0,N25)</f>
        <v/>
      </c>
      <c r="Q25" s="337">
        <f>P25+Q24</f>
        <v/>
      </c>
      <c r="R25" s="332">
        <f>Q25+$Q$4</f>
        <v/>
      </c>
      <c r="S25" s="47">
        <f>IF(B25=T25,"HOJE",".")</f>
        <v/>
      </c>
      <c r="T25" s="62">
        <f>TODAY()</f>
        <v/>
      </c>
      <c r="U25" s="332">
        <f>IF(S25="HOJE",R25,0)</f>
        <v/>
      </c>
      <c r="V25" s="47" t="n"/>
    </row>
    <row r="26" ht="16.5" customHeight="1" thickBot="1">
      <c r="A26" s="17">
        <f>IF(OR(C26=2,C26=8),"F","U")</f>
        <v/>
      </c>
      <c r="B26" s="46">
        <f>B25+1</f>
        <v/>
      </c>
      <c r="C26" s="393">
        <f>WEEKDAY(B26)+1</f>
        <v/>
      </c>
      <c r="D26" s="305" t="n"/>
      <c r="E26" s="296" t="n"/>
      <c r="F26" s="391" t="n">
        <v>0</v>
      </c>
      <c r="G26" s="391" t="n">
        <v>0</v>
      </c>
      <c r="H26" s="391" t="n">
        <v>0</v>
      </c>
      <c r="I26" s="391" t="n">
        <v>0</v>
      </c>
      <c r="J26" s="378" t="n"/>
      <c r="K26" s="341" t="n"/>
      <c r="L26" s="329">
        <f>IF(A26="U",(G26-F26)+(I26-H26)+(K26-J26),"NÃO ÚTIL")</f>
        <v/>
      </c>
      <c r="M26" s="330">
        <f>IF(A26="U",L7,"NÃO ÚTIL")</f>
        <v/>
      </c>
      <c r="N26" s="331">
        <f>IF(A26="U",(L26-M26),"NÃO ÚTIL")</f>
        <v/>
      </c>
      <c r="O26" s="47" t="n"/>
      <c r="P26" s="332">
        <f>IF(N26="não útil",0,N26)</f>
        <v/>
      </c>
      <c r="Q26" s="337">
        <f>P26+Q25</f>
        <v/>
      </c>
      <c r="R26" s="332">
        <f>Q26+$Q$4</f>
        <v/>
      </c>
      <c r="S26" s="47">
        <f>IF(B26=T26,"HOJE",".")</f>
        <v/>
      </c>
      <c r="T26" s="62">
        <f>TODAY()</f>
        <v/>
      </c>
      <c r="U26" s="332">
        <f>IF(S26="HOJE",R26,0)</f>
        <v/>
      </c>
      <c r="V26" s="47" t="n"/>
    </row>
    <row r="27" ht="16.5" customHeight="1" thickBot="1">
      <c r="A27" s="17">
        <f>IF(OR(C27=2,C27=8),"F","U")</f>
        <v/>
      </c>
      <c r="B27" s="46">
        <f>B26+1</f>
        <v/>
      </c>
      <c r="C27" s="393">
        <f>WEEKDAY(B27)+1</f>
        <v/>
      </c>
      <c r="D27" s="305" t="n"/>
      <c r="E27" s="296" t="n"/>
      <c r="F27" s="391" t="n">
        <v>0</v>
      </c>
      <c r="G27" s="391" t="n">
        <v>0</v>
      </c>
      <c r="H27" s="391" t="n">
        <v>0</v>
      </c>
      <c r="I27" s="391" t="n">
        <v>0</v>
      </c>
      <c r="J27" s="377" t="n"/>
      <c r="K27" s="339" t="n"/>
      <c r="L27" s="329">
        <f>IF(A27="U",(G27-F27)+(I27-H27)+(K27-J27),"NÃO ÚTIL")</f>
        <v/>
      </c>
      <c r="M27" s="330">
        <f>IF(A27="U",L7,"NÃO ÚTIL")</f>
        <v/>
      </c>
      <c r="N27" s="331">
        <f>IF(A27="U",(L27-M27),"NÃO ÚTIL")</f>
        <v/>
      </c>
      <c r="O27" s="47" t="n"/>
      <c r="P27" s="332">
        <f>IF(N27="não útil",0,N27)</f>
        <v/>
      </c>
      <c r="Q27" s="337">
        <f>P27+Q26</f>
        <v/>
      </c>
      <c r="R27" s="332">
        <f>Q27+$Q$4</f>
        <v/>
      </c>
      <c r="S27" s="47">
        <f>IF(B27=T27,"HOJE",".")</f>
        <v/>
      </c>
      <c r="T27" s="62">
        <f>TODAY()</f>
        <v/>
      </c>
      <c r="U27" s="332">
        <f>IF(S27="HOJE",R27,0)</f>
        <v/>
      </c>
      <c r="V27" s="47" t="n"/>
    </row>
    <row r="28" ht="16.5" customHeight="1" thickBot="1">
      <c r="A28" s="17">
        <f>IF(OR(C28=2,C28=8),"F","U")</f>
        <v/>
      </c>
      <c r="B28" s="46">
        <f>B27+1</f>
        <v/>
      </c>
      <c r="C28" s="393">
        <f>WEEKDAY(B28)+1</f>
        <v/>
      </c>
      <c r="D28" s="305" t="n"/>
      <c r="E28" s="296" t="n"/>
      <c r="F28" s="391" t="n">
        <v>0</v>
      </c>
      <c r="G28" s="391" t="n">
        <v>0</v>
      </c>
      <c r="H28" s="391" t="n">
        <v>0</v>
      </c>
      <c r="I28" s="391" t="n">
        <v>0</v>
      </c>
      <c r="J28" s="376" t="n"/>
      <c r="K28" s="336" t="n"/>
      <c r="L28" s="329">
        <f>IF(A28="U",(G28-F28)+(I28-H28)+(K28-J28),"NÃO ÚTIL")</f>
        <v/>
      </c>
      <c r="M28" s="330">
        <f>IF(A28="U",L7,"NÃO ÚTIL")</f>
        <v/>
      </c>
      <c r="N28" s="331">
        <f>IF(A28="U",(L28-M28),"NÃO ÚTIL")</f>
        <v/>
      </c>
      <c r="O28" s="47" t="n"/>
      <c r="P28" s="332">
        <f>IF(N28="não útil",0,N28)</f>
        <v/>
      </c>
      <c r="Q28" s="337">
        <f>P28+Q27</f>
        <v/>
      </c>
      <c r="R28" s="332">
        <f>Q28+$Q$4</f>
        <v/>
      </c>
      <c r="S28" s="47">
        <f>IF(B28=T28,"HOJE",".")</f>
        <v/>
      </c>
      <c r="T28" s="62">
        <f>TODAY()</f>
        <v/>
      </c>
      <c r="U28" s="332">
        <f>IF(S28="HOJE",R28,0)</f>
        <v/>
      </c>
      <c r="V28" s="47" t="n"/>
    </row>
    <row r="29" ht="16.5" customHeight="1" thickBot="1">
      <c r="A29" s="17">
        <f>IF(OR(C29=2,C29=8),"F","U")</f>
        <v/>
      </c>
      <c r="B29" s="46">
        <f>B28+1</f>
        <v/>
      </c>
      <c r="C29" s="393">
        <f>WEEKDAY(B29)+1</f>
        <v/>
      </c>
      <c r="D29" s="305" t="n"/>
      <c r="E29" s="296" t="n"/>
      <c r="F29" s="391" t="n">
        <v>0</v>
      </c>
      <c r="G29" s="391" t="n">
        <v>0</v>
      </c>
      <c r="H29" s="391" t="n">
        <v>0</v>
      </c>
      <c r="I29" s="391" t="n">
        <v>0</v>
      </c>
      <c r="J29" s="378" t="n"/>
      <c r="K29" s="341" t="n"/>
      <c r="L29" s="329">
        <f>IF(A29="U",(G29-F29)+(I29-H29)+(K29-J29),"NÃO ÚTIL")</f>
        <v/>
      </c>
      <c r="M29" s="330">
        <f>IF(A29="U",L7,"NÃO ÚTIL")</f>
        <v/>
      </c>
      <c r="N29" s="331">
        <f>IF(A29="U",(L29-M29),"NÃO ÚTIL")</f>
        <v/>
      </c>
      <c r="O29" s="47" t="n"/>
      <c r="P29" s="332">
        <f>IF(N29="não útil",0,N29)</f>
        <v/>
      </c>
      <c r="Q29" s="337">
        <f>P29+Q28</f>
        <v/>
      </c>
      <c r="R29" s="332">
        <f>Q29+$Q$4</f>
        <v/>
      </c>
      <c r="S29" s="47">
        <f>IF(B29=T29,"HOJE",".")</f>
        <v/>
      </c>
      <c r="T29" s="62">
        <f>TODAY()</f>
        <v/>
      </c>
      <c r="U29" s="332">
        <f>IF(S29="HOJE",R29,0)</f>
        <v/>
      </c>
      <c r="V29" s="47" t="n"/>
    </row>
    <row r="30" ht="16.5" customHeight="1" thickBot="1">
      <c r="A30" s="17">
        <f>IF(OR(C30=2,C30=8),"F","U")</f>
        <v/>
      </c>
      <c r="B30" s="46">
        <f>B29+1</f>
        <v/>
      </c>
      <c r="C30" s="393">
        <f>WEEKDAY(B30)+1</f>
        <v/>
      </c>
      <c r="D30" s="305" t="n"/>
      <c r="E30" s="296" t="n"/>
      <c r="F30" s="391" t="n">
        <v>0</v>
      </c>
      <c r="G30" s="391" t="n">
        <v>0</v>
      </c>
      <c r="H30" s="391" t="n">
        <v>0</v>
      </c>
      <c r="I30" s="391" t="n">
        <v>0</v>
      </c>
      <c r="J30" s="377" t="n"/>
      <c r="K30" s="339" t="n"/>
      <c r="L30" s="329">
        <f>IF(A30="U",(G30-F30)+(I30-H30)+(K30-J30),"NÃO ÚTIL")</f>
        <v/>
      </c>
      <c r="M30" s="330">
        <f>IF(A30="U",L7,"NÃO ÚTIL")</f>
        <v/>
      </c>
      <c r="N30" s="331">
        <f>IF(A30="U",(L30-M30),"NÃO ÚTIL")</f>
        <v/>
      </c>
      <c r="O30" s="47" t="n"/>
      <c r="P30" s="332">
        <f>IF(N30="não útil",0,N30)</f>
        <v/>
      </c>
      <c r="Q30" s="337">
        <f>P30+Q29</f>
        <v/>
      </c>
      <c r="R30" s="332">
        <f>Q30+$Q$4</f>
        <v/>
      </c>
      <c r="S30" s="47">
        <f>IF(B30=T30,"HOJE",".")</f>
        <v/>
      </c>
      <c r="T30" s="62">
        <f>TODAY()</f>
        <v/>
      </c>
      <c r="U30" s="332">
        <f>IF(S30="HOJE",R30,0)</f>
        <v/>
      </c>
      <c r="V30" s="47" t="n"/>
    </row>
    <row r="31" ht="16.5" customHeight="1" thickBot="1">
      <c r="A31" s="17">
        <f>IF(OR(C31=2,C31=8),"F","U")</f>
        <v/>
      </c>
      <c r="B31" s="46">
        <f>B30+1</f>
        <v/>
      </c>
      <c r="C31" s="393">
        <f>WEEKDAY(B31)+1</f>
        <v/>
      </c>
      <c r="D31" s="305" t="n"/>
      <c r="E31" s="296" t="n"/>
      <c r="F31" s="391" t="n">
        <v>0</v>
      </c>
      <c r="G31" s="391" t="n">
        <v>0</v>
      </c>
      <c r="H31" s="391" t="n">
        <v>0</v>
      </c>
      <c r="I31" s="391" t="n">
        <v>0</v>
      </c>
      <c r="J31" s="378" t="n"/>
      <c r="K31" s="341" t="n"/>
      <c r="L31" s="329">
        <f>IF(A31="U",(G31-F31)+(I31-H31)+(K31-J31),"NÃO ÚTIL")</f>
        <v/>
      </c>
      <c r="M31" s="330">
        <f>IF(A31="U",L7,"NÃO ÚTIL")</f>
        <v/>
      </c>
      <c r="N31" s="331">
        <f>IF(A31="U",(L31-M31),"NÃO ÚTIL")</f>
        <v/>
      </c>
      <c r="O31" s="47" t="n"/>
      <c r="P31" s="332">
        <f>IF(N31="não útil",0,N31)</f>
        <v/>
      </c>
      <c r="Q31" s="337">
        <f>P31+Q30</f>
        <v/>
      </c>
      <c r="R31" s="332">
        <f>Q31+$Q$4</f>
        <v/>
      </c>
      <c r="S31" s="47">
        <f>IF(B31=T31,"HOJE",".")</f>
        <v/>
      </c>
      <c r="T31" s="62">
        <f>TODAY()</f>
        <v/>
      </c>
      <c r="U31" s="332">
        <f>IF(S31="HOJE",R31,0)</f>
        <v/>
      </c>
      <c r="V31" s="47" t="n"/>
    </row>
    <row r="32" ht="17.25" customHeight="1" thickBot="1">
      <c r="A32" s="17">
        <f>IF(OR(C32=2,C32=8),"F","U")</f>
        <v/>
      </c>
      <c r="B32" s="46">
        <f>B31+1</f>
        <v/>
      </c>
      <c r="C32" s="393">
        <f>WEEKDAY(B32)+1</f>
        <v/>
      </c>
      <c r="D32" s="305" t="n"/>
      <c r="E32" s="296" t="n"/>
      <c r="F32" s="391" t="n">
        <v>0</v>
      </c>
      <c r="G32" s="391" t="n">
        <v>0</v>
      </c>
      <c r="H32" s="391" t="n">
        <v>0</v>
      </c>
      <c r="I32" s="391" t="n">
        <v>0</v>
      </c>
      <c r="J32" s="338" t="n"/>
      <c r="K32" s="339" t="n"/>
      <c r="L32" s="329">
        <f>IF(A32="U",(G32-F32)+(I32-H32)+(K32-J32),"NÃO ÚTIL")</f>
        <v/>
      </c>
      <c r="M32" s="330">
        <f>IF(A32="U",L7,"NÃO ÚTIL")</f>
        <v/>
      </c>
      <c r="N32" s="331">
        <f>IF(A32="U",(L32-M32),"NÃO ÚTIL")</f>
        <v/>
      </c>
      <c r="O32" s="47" t="n"/>
      <c r="P32" s="332">
        <f>IF(N32="não útil",0,N32)</f>
        <v/>
      </c>
      <c r="Q32" s="337">
        <f>P32+Q31</f>
        <v/>
      </c>
      <c r="R32" s="332">
        <f>Q32+$Q$4</f>
        <v/>
      </c>
      <c r="S32" s="47">
        <f>IF(B32=T32,"HOJE",".")</f>
        <v/>
      </c>
      <c r="T32" s="62">
        <f>TODAY()</f>
        <v/>
      </c>
      <c r="U32" s="332">
        <f>IF(S32="HOJE",R32,0)</f>
        <v/>
      </c>
      <c r="V32" s="47" t="n"/>
    </row>
    <row r="33" ht="16.5" customHeight="1" thickBot="1">
      <c r="A33" s="17">
        <f>IF(OR(C33=2,C33=8),"F","U")</f>
        <v/>
      </c>
      <c r="B33" s="46">
        <f>B32+1</f>
        <v/>
      </c>
      <c r="C33" s="393">
        <f>WEEKDAY(B33)+1</f>
        <v/>
      </c>
      <c r="D33" s="305" t="n"/>
      <c r="E33" s="296" t="n"/>
      <c r="F33" s="391" t="n">
        <v>0</v>
      </c>
      <c r="G33" s="391" t="n">
        <v>0</v>
      </c>
      <c r="H33" s="391" t="n">
        <v>0</v>
      </c>
      <c r="I33" s="391" t="n">
        <v>0</v>
      </c>
      <c r="J33" s="340" t="n"/>
      <c r="K33" s="341" t="n"/>
      <c r="L33" s="329">
        <f>IF(A33="U",(G33-F33)+(I33-H33)+(K33-J33),"NÃO ÚTIL")</f>
        <v/>
      </c>
      <c r="M33" s="330">
        <f>IF(A33="U",L7,"NÃO ÚTIL")</f>
        <v/>
      </c>
      <c r="N33" s="331">
        <f>IF(A33="U",(L33-M33),"NÃO ÚTIL")</f>
        <v/>
      </c>
      <c r="O33" s="47" t="n"/>
      <c r="P33" s="332">
        <f>IF(N33="não útil",0,N33)</f>
        <v/>
      </c>
      <c r="Q33" s="337">
        <f>P33+Q32</f>
        <v/>
      </c>
      <c r="R33" s="332">
        <f>Q33+$Q$4</f>
        <v/>
      </c>
      <c r="S33" s="47">
        <f>IF(B33=T33,"HOJE",".")</f>
        <v/>
      </c>
      <c r="T33" s="62">
        <f>TODAY()</f>
        <v/>
      </c>
      <c r="U33" s="332">
        <f>IF(S33="HOJE",R33,0)</f>
        <v/>
      </c>
      <c r="V33" s="47" t="n"/>
    </row>
    <row r="34" ht="16.5" customHeight="1" thickBot="1">
      <c r="A34" s="17">
        <f>IF(OR(C34=2,C34=8),"F","U")</f>
        <v/>
      </c>
      <c r="B34" s="46">
        <f>B33+1</f>
        <v/>
      </c>
      <c r="C34" s="393">
        <f>WEEKDAY(B34)+1</f>
        <v/>
      </c>
      <c r="D34" s="305" t="n"/>
      <c r="E34" s="296" t="n"/>
      <c r="F34" s="391" t="n">
        <v>0</v>
      </c>
      <c r="G34" s="391" t="n">
        <v>0</v>
      </c>
      <c r="H34" s="391" t="n">
        <v>0</v>
      </c>
      <c r="I34" s="391" t="n">
        <v>0</v>
      </c>
      <c r="J34" s="338" t="n"/>
      <c r="K34" s="345" t="n"/>
      <c r="L34" s="329">
        <f>IF(A34="U",(G34-F34)+(I34-H34)+(K34-J34),"NÃO ÚTIL")</f>
        <v/>
      </c>
      <c r="M34" s="330">
        <f>IF(A34="U",L7,"NÃO ÚTIL")</f>
        <v/>
      </c>
      <c r="N34" s="331">
        <f>IF(A34="U",(L34-M34),"NÃO ÚTIL")</f>
        <v/>
      </c>
      <c r="O34" s="47" t="n"/>
      <c r="P34" s="332">
        <f>IF(N34="não útil",0,N34)</f>
        <v/>
      </c>
      <c r="Q34" s="337">
        <f>P34+Q33</f>
        <v/>
      </c>
      <c r="R34" s="332">
        <f>Q34+$Q$4</f>
        <v/>
      </c>
      <c r="S34" s="47">
        <f>IF(B34=T34,"HOJE",".")</f>
        <v/>
      </c>
      <c r="T34" s="62">
        <f>TODAY()</f>
        <v/>
      </c>
      <c r="U34" s="332">
        <f>IF(S34="HOJE",R34,0)</f>
        <v/>
      </c>
      <c r="V34" s="47" t="n"/>
    </row>
    <row r="35" ht="16.5" customHeight="1" thickBot="1">
      <c r="A35" s="17">
        <f>IF(OR(C35=2,C35=8),"F","U")</f>
        <v/>
      </c>
      <c r="B35" s="46">
        <f>B34+1</f>
        <v/>
      </c>
      <c r="C35" s="393">
        <f>WEEKDAY(B35)+1</f>
        <v/>
      </c>
      <c r="D35" s="305" t="n"/>
      <c r="E35" s="296" t="n"/>
      <c r="F35" s="391" t="n">
        <v>0</v>
      </c>
      <c r="G35" s="391" t="n">
        <v>0</v>
      </c>
      <c r="H35" s="391" t="n">
        <v>0</v>
      </c>
      <c r="I35" s="391" t="n">
        <v>0</v>
      </c>
      <c r="J35" s="338" t="n"/>
      <c r="K35" s="339" t="n"/>
      <c r="L35" s="329">
        <f>IF(A35="U",(G35-F35)+(I35-H35)+(K35-J35),"NÃO ÚTIL")</f>
        <v/>
      </c>
      <c r="M35" s="330">
        <f>IF(A35="U",L7,"NÃO ÚTIL")</f>
        <v/>
      </c>
      <c r="N35" s="331">
        <f>IF(A35="U",(L35-M35),"NÃO ÚTIL")</f>
        <v/>
      </c>
      <c r="O35" s="47" t="n"/>
      <c r="P35" s="332">
        <f>IF(N35="não útil",0,N35)</f>
        <v/>
      </c>
      <c r="Q35" s="337">
        <f>P35+Q34</f>
        <v/>
      </c>
      <c r="R35" s="332">
        <f>Q35+$Q$4</f>
        <v/>
      </c>
      <c r="S35" s="47">
        <f>IF(B35=T35,"HOJE",".")</f>
        <v/>
      </c>
      <c r="T35" s="62">
        <f>TODAY()</f>
        <v/>
      </c>
      <c r="U35" s="332">
        <f>IF(S35="HOJE",R35,0)</f>
        <v/>
      </c>
      <c r="V35" s="47" t="n"/>
    </row>
    <row r="36" ht="16.5" customHeight="1" thickBot="1">
      <c r="A36" s="17" t="inlineStr">
        <is>
          <t>F</t>
        </is>
      </c>
      <c r="B36" s="46">
        <f>B35+1</f>
        <v/>
      </c>
      <c r="C36" s="400">
        <f>WEEKDAY(B36)+1</f>
        <v/>
      </c>
      <c r="D36" s="305" t="n"/>
      <c r="E36" s="296" t="n"/>
      <c r="F36" s="391" t="n">
        <v>0</v>
      </c>
      <c r="G36" s="391" t="n">
        <v>0</v>
      </c>
      <c r="H36" s="391" t="n">
        <v>0</v>
      </c>
      <c r="I36" s="391" t="n">
        <v>0</v>
      </c>
      <c r="J36" s="335" t="n"/>
      <c r="K36" s="336" t="n"/>
      <c r="L36" s="329">
        <f>IF(A36="U",(G36-F36)+(I36-H36)+(K36-J36),"NÃO ÚTIL")</f>
        <v/>
      </c>
      <c r="M36" s="330">
        <f>IF(A36="U",L7,"NÃO ÚTIL")</f>
        <v/>
      </c>
      <c r="N36" s="331">
        <f>IF(A36="U",(L36-M36),"NÃO ÚTIL")</f>
        <v/>
      </c>
      <c r="O36" s="47" t="n"/>
      <c r="P36" s="332">
        <f>IF(N36="não útil",0,N36)</f>
        <v/>
      </c>
      <c r="Q36" s="337">
        <f>P36+Q35</f>
        <v/>
      </c>
      <c r="R36" s="332">
        <f>Q36+$Q$4</f>
        <v/>
      </c>
      <c r="S36" s="47">
        <f>IF(B36=T36,"HOJE",".")</f>
        <v/>
      </c>
      <c r="T36" s="62">
        <f>TODAY()</f>
        <v/>
      </c>
      <c r="U36" s="332">
        <f>IF(S36="HOJE",R36,0)</f>
        <v/>
      </c>
      <c r="V36" s="47" t="n"/>
    </row>
    <row r="37" ht="16.5" customHeight="1" thickBot="1">
      <c r="A37" s="17">
        <f>IF(OR(C37=2,C37=8),"F","U")</f>
        <v/>
      </c>
      <c r="B37" s="46">
        <f>B36+1</f>
        <v/>
      </c>
      <c r="C37" s="393">
        <f>WEEKDAY(B37)+1</f>
        <v/>
      </c>
      <c r="D37" s="305" t="n"/>
      <c r="E37" s="296" t="n"/>
      <c r="F37" s="391" t="n">
        <v>0</v>
      </c>
      <c r="G37" s="391" t="n">
        <v>0</v>
      </c>
      <c r="H37" s="391" t="n">
        <v>0</v>
      </c>
      <c r="I37" s="391" t="n">
        <v>0</v>
      </c>
      <c r="J37" s="338" t="n"/>
      <c r="K37" s="345" t="n"/>
      <c r="L37" s="329">
        <f>IF(A37="U",(G37-F37)+(I37-H37)+(K37-J37),"NÃO ÚTIL")</f>
        <v/>
      </c>
      <c r="M37" s="330">
        <f>IF(A37="U",L7,"NÃO ÚTIL")</f>
        <v/>
      </c>
      <c r="N37" s="331">
        <f>IF(A37="U",(L37-M37),"NÃO ÚTIL")</f>
        <v/>
      </c>
      <c r="O37" s="47" t="n"/>
      <c r="P37" s="332">
        <f>IF(N37="não útil",0,N37)</f>
        <v/>
      </c>
      <c r="Q37" s="337">
        <f>P37+Q36</f>
        <v/>
      </c>
      <c r="R37" s="332">
        <f>Q37+$Q$4</f>
        <v/>
      </c>
      <c r="S37" s="47">
        <f>IF(B37=T37,"HOJE",".")</f>
        <v/>
      </c>
      <c r="T37" s="62">
        <f>TODAY()</f>
        <v/>
      </c>
      <c r="U37" s="332">
        <f>IF(S37="HOJE",R37,0)</f>
        <v/>
      </c>
      <c r="V37" s="47" t="n"/>
    </row>
    <row r="38" ht="16.5" customHeight="1" thickBot="1">
      <c r="A38" s="17">
        <f>IF(OR(C38=2,C38=8),"F","U")</f>
        <v/>
      </c>
      <c r="B38" s="46">
        <f>B37+1</f>
        <v/>
      </c>
      <c r="C38" s="393">
        <f>WEEKDAY(B38)+1</f>
        <v/>
      </c>
      <c r="D38" s="305" t="n"/>
      <c r="E38" s="296" t="n"/>
      <c r="F38" s="391" t="n">
        <v>0</v>
      </c>
      <c r="G38" s="391" t="n">
        <v>0</v>
      </c>
      <c r="H38" s="391" t="n">
        <v>0</v>
      </c>
      <c r="I38" s="391" t="n">
        <v>0</v>
      </c>
      <c r="J38" s="340" t="n"/>
      <c r="K38" s="345" t="n"/>
      <c r="L38" s="329">
        <f>IF(A38="U",(G38-F38)+(I38-H38)+(K38-J38),"NÃO ÚTIL")</f>
        <v/>
      </c>
      <c r="M38" s="330">
        <f>IF(A38="U",L7,"NÃO ÚTIL")</f>
        <v/>
      </c>
      <c r="N38" s="331">
        <f>IF(A38="U",(L38-M38),"NÃO ÚTIL")</f>
        <v/>
      </c>
      <c r="O38" s="47" t="n"/>
      <c r="P38" s="332">
        <f>IF(N38="não útil",0,N38)</f>
        <v/>
      </c>
      <c r="Q38" s="337">
        <f>P38+Q37</f>
        <v/>
      </c>
      <c r="R38" s="332">
        <f>Q38+$Q$4</f>
        <v/>
      </c>
      <c r="S38" s="47">
        <f>IF(B38=T38,"HOJE",".")</f>
        <v/>
      </c>
      <c r="T38" s="62">
        <f>TODAY()</f>
        <v/>
      </c>
      <c r="U38" s="332">
        <f>IF(S38="HOJE",R38,0)</f>
        <v/>
      </c>
      <c r="V38" s="47" t="n"/>
    </row>
    <row r="39" ht="15" customHeight="1" thickBot="1">
      <c r="A39" s="17">
        <f>IF(OR(C39=2,C39=8),"F","U")</f>
        <v/>
      </c>
      <c r="B39" s="46">
        <f>B38+1</f>
        <v/>
      </c>
      <c r="C39" s="393">
        <f>WEEKDAY(B39)+1</f>
        <v/>
      </c>
      <c r="D39" s="305" t="n"/>
      <c r="E39" s="296" t="n"/>
      <c r="F39" s="391" t="n">
        <v>0</v>
      </c>
      <c r="G39" s="391" t="n">
        <v>0</v>
      </c>
      <c r="H39" s="391" t="n">
        <v>0</v>
      </c>
      <c r="I39" s="391" t="n">
        <v>0</v>
      </c>
      <c r="J39" s="401" t="n"/>
      <c r="K39" s="339" t="n"/>
      <c r="L39" s="329">
        <f>IF(A39="U",(G39-F39)+(I39-H39)+(K39-J39),"NÃO ÚTIL")</f>
        <v/>
      </c>
      <c r="M39" s="330">
        <f>IF(A39="U",L7,"NÃO ÚTIL")</f>
        <v/>
      </c>
      <c r="N39" s="331">
        <f>IF(A39="U",(L39-M39),"NÃO ÚTIL")</f>
        <v/>
      </c>
      <c r="O39" s="47" t="n"/>
      <c r="P39" s="332">
        <f>IF(N39="não útil",0,N39)</f>
        <v/>
      </c>
      <c r="Q39" s="337">
        <f>P39+Q38</f>
        <v/>
      </c>
      <c r="R39" s="332">
        <f>Q39+$Q$4</f>
        <v/>
      </c>
      <c r="S39" s="47">
        <f>IF(B39=T39,"HOJE",".")</f>
        <v/>
      </c>
      <c r="T39" s="62">
        <f>TODAY()</f>
        <v/>
      </c>
      <c r="U39" s="332">
        <f>IF(S39="HOJE",R39,0)</f>
        <v/>
      </c>
      <c r="V39" s="47" t="n"/>
    </row>
    <row r="40" ht="16.5" customHeight="1" thickBot="1">
      <c r="A40" s="17">
        <f>IF(OR(C40=2,C40=8),"F","U")</f>
        <v/>
      </c>
      <c r="B40" s="46">
        <f>B39+1</f>
        <v/>
      </c>
      <c r="C40" s="393">
        <f>WEEKDAY(B40)+1</f>
        <v/>
      </c>
      <c r="D40" s="305" t="n"/>
      <c r="E40" s="296" t="n"/>
      <c r="F40" s="391" t="n">
        <v>0</v>
      </c>
      <c r="G40" s="391" t="n">
        <v>0</v>
      </c>
      <c r="H40" s="391" t="n">
        <v>0</v>
      </c>
      <c r="I40" s="391" t="n">
        <v>0</v>
      </c>
      <c r="J40" s="378" t="n"/>
      <c r="K40" s="341" t="n"/>
      <c r="L40" s="329">
        <f>IF(A40="U",(G40-F40)+(I40-H40)+(K40-J40),"NÃO ÚTIL")</f>
        <v/>
      </c>
      <c r="M40" s="330">
        <f>IF(A40="U",L7,"NÃO ÚTIL")</f>
        <v/>
      </c>
      <c r="N40" s="331">
        <f>IF(A40="U",(L40-M40),"NÃO ÚTIL")</f>
        <v/>
      </c>
      <c r="O40" s="47" t="n"/>
      <c r="P40" s="332">
        <f>IF(N40="não útil",0,N40)</f>
        <v/>
      </c>
      <c r="Q40" s="337">
        <f>P40+Q39</f>
        <v/>
      </c>
      <c r="R40" s="332">
        <f>Q40+$Q$4</f>
        <v/>
      </c>
      <c r="S40" s="47">
        <f>IF(B40=T40,"HOJE",".")</f>
        <v/>
      </c>
      <c r="T40" s="62">
        <f>TODAY()</f>
        <v/>
      </c>
      <c r="U40" s="332">
        <f>IF(S40="HOJE",R40,0)</f>
        <v/>
      </c>
      <c r="V40" s="47" t="n"/>
    </row>
    <row r="41" ht="16.5" customHeight="1" thickBot="1">
      <c r="A41" s="17">
        <f>IF(OR(C41=2,C41=8),"F","U")</f>
        <v/>
      </c>
      <c r="B41" s="46">
        <f>B40+1</f>
        <v/>
      </c>
      <c r="C41" s="393">
        <f>WEEKDAY(B41)+1</f>
        <v/>
      </c>
      <c r="D41" s="305" t="n"/>
      <c r="E41" s="296" t="n"/>
      <c r="F41" s="391" t="n">
        <v>0</v>
      </c>
      <c r="G41" s="391" t="n">
        <v>0</v>
      </c>
      <c r="H41" s="391" t="n">
        <v>0</v>
      </c>
      <c r="I41" s="391" t="n">
        <v>0</v>
      </c>
      <c r="J41" s="377" t="n"/>
      <c r="K41" s="339" t="n"/>
      <c r="L41" s="329">
        <f>IF(A41="U",(G41-F41)+(I41-H41)+(K41-J41),"NÃO ÚTIL")</f>
        <v/>
      </c>
      <c r="M41" s="330">
        <f>IF(A41="U",L7,"NÃO ÚTIL")</f>
        <v/>
      </c>
      <c r="N41" s="331">
        <f>IF(A41="U",(L41-M41),"NÃO ÚTIL")</f>
        <v/>
      </c>
      <c r="O41" s="47" t="n"/>
      <c r="P41" s="332">
        <f>IF(N41="não útil",0,N41)</f>
        <v/>
      </c>
      <c r="Q41" s="337">
        <f>P41+Q40</f>
        <v/>
      </c>
      <c r="R41" s="332">
        <f>Q41+$Q$4</f>
        <v/>
      </c>
      <c r="S41" s="47">
        <f>IF(B41=T41,"HOJE",".")</f>
        <v/>
      </c>
      <c r="T41" s="62">
        <f>TODAY()</f>
        <v/>
      </c>
      <c r="U41" s="332">
        <f>IF(S41="HOJE",R41,0)</f>
        <v/>
      </c>
      <c r="V41" s="47" t="n"/>
    </row>
    <row r="42" ht="16.5" customHeight="1" thickBot="1">
      <c r="A42" s="17">
        <f>IF(OR(C42=2,C42=8),"F","U")</f>
        <v/>
      </c>
      <c r="B42" s="46">
        <f>B41+1</f>
        <v/>
      </c>
      <c r="C42" s="393">
        <f>WEEKDAY(B42)+1</f>
        <v/>
      </c>
      <c r="D42" s="305" t="n"/>
      <c r="E42" s="296" t="n"/>
      <c r="F42" s="391" t="n">
        <v>0</v>
      </c>
      <c r="G42" s="391" t="n">
        <v>0</v>
      </c>
      <c r="H42" s="391" t="n">
        <v>0</v>
      </c>
      <c r="I42" s="391" t="n">
        <v>0</v>
      </c>
      <c r="J42" s="377" t="n"/>
      <c r="K42" s="341" t="n"/>
      <c r="L42" s="329">
        <f>IF(A42="U",(G42-F42)+(I42-H42)+(K42-J42),"NÃO ÚTIL")</f>
        <v/>
      </c>
      <c r="M42" s="330">
        <f>IF(A42="U",L7,"NÃO ÚTIL")</f>
        <v/>
      </c>
      <c r="N42" s="331">
        <f>IF(A42="U",(L42-M42),"NÃO ÚTIL")</f>
        <v/>
      </c>
      <c r="O42" s="47" t="n"/>
      <c r="P42" s="332">
        <f>IF(N42="não útil",0,N42)</f>
        <v/>
      </c>
      <c r="Q42" s="337">
        <f>P42+Q41</f>
        <v/>
      </c>
      <c r="R42" s="332">
        <f>Q42+$Q$4</f>
        <v/>
      </c>
      <c r="S42" s="47">
        <f>IF(B42=T42,"HOJE",".")</f>
        <v/>
      </c>
      <c r="T42" s="62">
        <f>TODAY()</f>
        <v/>
      </c>
      <c r="U42" s="332">
        <f>IF(S42="HOJE",R42,0)</f>
        <v/>
      </c>
      <c r="V42" s="47" t="n"/>
    </row>
    <row r="43" ht="16.5" customHeight="1" thickBot="1">
      <c r="A43" s="17">
        <f>IF(OR(C43=2,C43=8),"F","U")</f>
        <v/>
      </c>
      <c r="B43" s="46">
        <f>B42+1</f>
        <v/>
      </c>
      <c r="C43" s="393">
        <f>WEEKDAY(B43)+1</f>
        <v/>
      </c>
      <c r="D43" s="305" t="n"/>
      <c r="E43" s="296" t="n"/>
      <c r="F43" s="391" t="n">
        <v>0</v>
      </c>
      <c r="G43" s="391" t="n">
        <v>0</v>
      </c>
      <c r="H43" s="391" t="n">
        <v>0</v>
      </c>
      <c r="I43" s="391" t="n">
        <v>0</v>
      </c>
      <c r="J43" s="377" t="n"/>
      <c r="K43" s="339" t="n"/>
      <c r="L43" s="329">
        <f>IF(A43="U",(G43-F43)+(I43-H43)+(K43-J43),"NÃO ÚTIL")</f>
        <v/>
      </c>
      <c r="M43" s="330">
        <f>IF(A43="U",L7,"NÃO ÚTIL")</f>
        <v/>
      </c>
      <c r="N43" s="331">
        <f>IF(A43="U",(L43-M43),"NÃO ÚTIL")</f>
        <v/>
      </c>
      <c r="O43" s="47" t="n"/>
      <c r="P43" s="332">
        <f>IF(N43="não útil",0,N43)</f>
        <v/>
      </c>
      <c r="Q43" s="337">
        <f>P43+Q42</f>
        <v/>
      </c>
      <c r="R43" s="332">
        <f>Q43+$Q$4</f>
        <v/>
      </c>
      <c r="S43" s="47">
        <f>IF(B43=T43,"HOJE",".")</f>
        <v/>
      </c>
      <c r="T43" s="62">
        <f>TODAY()</f>
        <v/>
      </c>
      <c r="U43" s="332">
        <f>IF(S43="HOJE",R43,0)</f>
        <v/>
      </c>
      <c r="V43" s="47" t="n"/>
    </row>
    <row r="44" ht="16.5" customHeight="1" thickBot="1">
      <c r="A44" s="17" t="inlineStr">
        <is>
          <t>U</t>
        </is>
      </c>
      <c r="B44" s="46">
        <f>B43+1</f>
        <v/>
      </c>
      <c r="C44" s="393">
        <f>WEEKDAY(B44)+1</f>
        <v/>
      </c>
      <c r="D44" s="305" t="n"/>
      <c r="E44" s="296" t="n"/>
      <c r="F44" s="391" t="n">
        <v>0</v>
      </c>
      <c r="G44" s="391" t="n">
        <v>0</v>
      </c>
      <c r="H44" s="391" t="n">
        <v>0</v>
      </c>
      <c r="I44" s="391" t="n">
        <v>0</v>
      </c>
      <c r="J44" s="377" t="n"/>
      <c r="K44" s="339" t="n"/>
      <c r="L44" s="329">
        <f>IF(A44="U",(G44-F44)+(I44-H44)+(K44-J44),"NÃO ÚTIL")</f>
        <v/>
      </c>
      <c r="M44" s="330">
        <f>IF(A44="U",L7,"NÃO ÚTIL")</f>
        <v/>
      </c>
      <c r="N44" s="331">
        <f>IF(A44="U",(L44-M44),"NÃO ÚTIL")</f>
        <v/>
      </c>
      <c r="O44" s="47" t="n"/>
      <c r="P44" s="332">
        <f>IF(N44="não útil",0,N44)</f>
        <v/>
      </c>
      <c r="Q44" s="337">
        <f>P44+Q43</f>
        <v/>
      </c>
      <c r="R44" s="332">
        <f>Q44+$Q$4</f>
        <v/>
      </c>
      <c r="S44" s="47">
        <f>IF(B44=T44,"HOJE",".")</f>
        <v/>
      </c>
      <c r="T44" s="62">
        <f>TODAY()</f>
        <v/>
      </c>
      <c r="U44" s="332">
        <f>IF(S44="HOJE",R44,0)</f>
        <v/>
      </c>
      <c r="V44" s="47" t="n"/>
    </row>
    <row r="45" ht="23.25" customHeight="1" thickBot="1">
      <c r="A45" s="346" t="inlineStr">
        <is>
          <t>TOTAL MÊS:</t>
        </is>
      </c>
      <c r="B45" s="347" t="n"/>
      <c r="C45" s="347" t="n"/>
      <c r="D45" s="347" t="n"/>
      <c r="E45" s="347" t="n"/>
      <c r="F45" s="347" t="n"/>
      <c r="G45" s="347" t="n"/>
      <c r="H45" s="347" t="n"/>
      <c r="I45" s="347" t="n"/>
      <c r="J45" s="347" t="n"/>
      <c r="K45" s="348" t="n"/>
      <c r="L45" s="349">
        <f>SUM(L14:L44)</f>
        <v/>
      </c>
      <c r="M45" s="349">
        <f>SUM(M14:M44)</f>
        <v/>
      </c>
      <c r="N45" s="350">
        <f>SUM(N14:N44)</f>
        <v/>
      </c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 ht="12" customHeight="1" thickBot="1">
      <c r="A46" s="247" t="inlineStr">
        <is>
          <t>OBS:</t>
        </is>
      </c>
      <c r="B46" s="292" t="n"/>
      <c r="C46" s="160" t="n"/>
      <c r="D46" s="292" t="n"/>
      <c r="E46" s="292" t="n"/>
      <c r="F46" s="292" t="n"/>
      <c r="G46" s="292" t="n"/>
      <c r="H46" s="292" t="n"/>
      <c r="I46" s="293" t="n"/>
      <c r="J46" s="161" t="n"/>
      <c r="K46" s="347" t="n"/>
      <c r="L46" s="347" t="n"/>
      <c r="M46" s="347" t="n"/>
      <c r="N46" s="352" t="inlineStr">
        <is>
          <t>HORA (S)</t>
        </is>
      </c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 ht="12" customHeight="1" thickBot="1">
      <c r="A47" s="106" t="n"/>
      <c r="B47" s="297" t="n"/>
      <c r="C47" s="297" t="n"/>
      <c r="D47" s="297" t="n"/>
      <c r="E47" s="297" t="n"/>
      <c r="F47" s="297" t="n"/>
      <c r="G47" s="297" t="n"/>
      <c r="H47" s="297" t="n"/>
      <c r="I47" s="298" t="n"/>
      <c r="J47" s="353" t="inlineStr">
        <is>
          <t>CARGA HORÁRIA TRABAHADA (MÊS)</t>
        </is>
      </c>
      <c r="K47" s="354" t="n"/>
      <c r="L47" s="355" t="n"/>
      <c r="M47" s="356">
        <f>L45</f>
        <v/>
      </c>
      <c r="N47" s="355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 ht="12" customHeight="1" thickBot="1">
      <c r="A48" s="106" t="n"/>
      <c r="B48" s="297" t="n"/>
      <c r="C48" s="297" t="n"/>
      <c r="D48" s="297" t="n"/>
      <c r="E48" s="297" t="n"/>
      <c r="F48" s="297" t="n"/>
      <c r="G48" s="297" t="n"/>
      <c r="H48" s="297" t="n"/>
      <c r="I48" s="298" t="n"/>
      <c r="J48" s="322" t="n"/>
      <c r="K48" s="322" t="n"/>
      <c r="L48" s="318" t="n"/>
      <c r="M48" s="321" t="n"/>
      <c r="N48" s="318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12" customHeight="1" thickBot="1">
      <c r="A49" s="106" t="n"/>
      <c r="B49" s="297" t="n"/>
      <c r="C49" s="297" t="n"/>
      <c r="D49" s="297" t="n"/>
      <c r="E49" s="297" t="n"/>
      <c r="F49" s="297" t="n"/>
      <c r="G49" s="297" t="n"/>
      <c r="H49" s="297" t="n"/>
      <c r="I49" s="298" t="n"/>
      <c r="J49" s="353" t="inlineStr">
        <is>
          <t>CARGA HORÁRIA PREVISTA (MÊS)</t>
        </is>
      </c>
      <c r="K49" s="354" t="n"/>
      <c r="L49" s="355" t="n"/>
      <c r="M49" s="356">
        <f>M45</f>
        <v/>
      </c>
      <c r="N49" s="355" t="n"/>
      <c r="O49" s="47" t="n"/>
      <c r="P49" s="47" t="n"/>
      <c r="Q49" s="47" t="n"/>
      <c r="R49" s="47" t="n"/>
      <c r="S49" s="47" t="n"/>
      <c r="T49" s="47" t="n"/>
      <c r="U49" s="47" t="n"/>
      <c r="V49" s="47" t="n"/>
    </row>
    <row r="50" ht="12" customHeight="1" thickBot="1">
      <c r="A50" s="106" t="n"/>
      <c r="B50" s="297" t="n"/>
      <c r="C50" s="297" t="n"/>
      <c r="D50" s="297" t="n"/>
      <c r="E50" s="297" t="n"/>
      <c r="F50" s="297" t="n"/>
      <c r="G50" s="297" t="n"/>
      <c r="H50" s="297" t="n"/>
      <c r="I50" s="298" t="n"/>
      <c r="J50" s="322" t="n"/>
      <c r="K50" s="322" t="n"/>
      <c r="L50" s="318" t="n"/>
      <c r="M50" s="321" t="n"/>
      <c r="N50" s="318" t="n"/>
      <c r="O50" s="47" t="n"/>
      <c r="P50" s="47" t="n"/>
      <c r="Q50" s="47" t="n"/>
      <c r="R50" s="47" t="n"/>
      <c r="S50" s="47" t="n"/>
      <c r="T50" s="47" t="n"/>
      <c r="U50" s="47" t="n"/>
      <c r="V50" s="47" t="n"/>
    </row>
    <row r="51" ht="12" customHeight="1" thickBot="1">
      <c r="A51" s="106" t="n"/>
      <c r="B51" s="297" t="n"/>
      <c r="C51" s="297" t="n"/>
      <c r="D51" s="297" t="n"/>
      <c r="E51" s="297" t="n"/>
      <c r="F51" s="297" t="n"/>
      <c r="G51" s="297" t="n"/>
      <c r="H51" s="297" t="n"/>
      <c r="I51" s="298" t="n"/>
      <c r="J51" s="357" t="inlineStr">
        <is>
          <t>SALDO CARGA HORÁRIA (MÊS)</t>
        </is>
      </c>
      <c r="K51" s="354" t="n"/>
      <c r="L51" s="355" t="n"/>
      <c r="M51" s="356">
        <f>N45</f>
        <v/>
      </c>
      <c r="N51" s="355" t="n"/>
      <c r="O51" s="47" t="n"/>
      <c r="P51" s="47" t="n"/>
      <c r="Q51" s="47" t="n"/>
      <c r="R51" s="47" t="n"/>
      <c r="S51" s="47" t="n"/>
      <c r="T51" s="47" t="n"/>
      <c r="U51" s="47" t="n"/>
      <c r="V51" s="47" t="n"/>
    </row>
    <row r="52" ht="12" customHeight="1" thickBot="1">
      <c r="A52" s="106" t="n"/>
      <c r="B52" s="297" t="n"/>
      <c r="C52" s="297" t="n"/>
      <c r="D52" s="297" t="n"/>
      <c r="E52" s="297" t="n"/>
      <c r="F52" s="297" t="n"/>
      <c r="G52" s="297" t="n"/>
      <c r="H52" s="297" t="n"/>
      <c r="I52" s="298" t="n"/>
      <c r="J52" s="322" t="n"/>
      <c r="K52" s="322" t="n"/>
      <c r="L52" s="318" t="n"/>
      <c r="M52" s="321" t="n"/>
      <c r="N52" s="318" t="n"/>
      <c r="O52" s="47" t="n"/>
      <c r="P52" s="47" t="n"/>
      <c r="Q52" s="47" t="n"/>
      <c r="R52" s="47" t="n"/>
      <c r="S52" s="47" t="n"/>
      <c r="T52" s="47" t="n"/>
      <c r="U52" s="47" t="n"/>
      <c r="V52" s="47" t="n"/>
    </row>
    <row r="53" ht="12" customHeight="1">
      <c r="A53" s="106" t="n"/>
      <c r="B53" s="297" t="n"/>
      <c r="C53" s="297" t="n"/>
      <c r="D53" s="297" t="n"/>
      <c r="E53" s="297" t="n"/>
      <c r="F53" s="297" t="n"/>
      <c r="G53" s="297" t="n"/>
      <c r="H53" s="297" t="n"/>
      <c r="I53" s="298" t="n"/>
      <c r="J53" s="357" t="inlineStr">
        <is>
          <t>SALDO MÊS ANTERIOR</t>
        </is>
      </c>
      <c r="K53" s="354" t="n"/>
      <c r="L53" s="355" t="n"/>
      <c r="M53" s="356">
        <f>ABR!M54</f>
        <v/>
      </c>
      <c r="N53" s="355" t="n"/>
      <c r="O53" s="47" t="n"/>
      <c r="P53" s="47" t="n"/>
      <c r="Q53" s="47" t="n"/>
      <c r="R53" s="47" t="n"/>
      <c r="S53" s="47" t="n"/>
      <c r="T53" s="47" t="n"/>
      <c r="U53" s="47" t="n"/>
      <c r="V53" s="47" t="n"/>
    </row>
    <row r="54" ht="12" customHeight="1" thickBot="1">
      <c r="A54" s="106" t="n"/>
      <c r="B54" s="297" t="n"/>
      <c r="C54" s="297" t="n"/>
      <c r="D54" s="297" t="n"/>
      <c r="E54" s="297" t="n"/>
      <c r="F54" s="297" t="n"/>
      <c r="G54" s="297" t="n"/>
      <c r="H54" s="297" t="n"/>
      <c r="I54" s="298" t="n"/>
      <c r="J54" s="322" t="n"/>
      <c r="K54" s="322" t="n"/>
      <c r="L54" s="318" t="n"/>
      <c r="M54" s="321" t="n"/>
      <c r="N54" s="318" t="n"/>
      <c r="O54" s="47" t="n"/>
      <c r="P54" s="47" t="n"/>
      <c r="Q54" s="47" t="n"/>
      <c r="R54" s="47" t="n"/>
      <c r="S54" s="47" t="n"/>
      <c r="T54" s="47" t="n"/>
      <c r="U54" s="47" t="n"/>
      <c r="V54" s="47" t="n"/>
    </row>
    <row r="55" ht="12" customHeight="1">
      <c r="A55" s="106" t="n"/>
      <c r="B55" s="297" t="n"/>
      <c r="C55" s="297" t="n"/>
      <c r="D55" s="297" t="n"/>
      <c r="E55" s="297" t="n"/>
      <c r="F55" s="297" t="n"/>
      <c r="G55" s="297" t="n"/>
      <c r="H55" s="297" t="n"/>
      <c r="I55" s="298" t="n"/>
      <c r="J55" s="362" t="inlineStr">
        <is>
          <t>SALDO TOTAL</t>
        </is>
      </c>
      <c r="K55" s="354" t="n"/>
      <c r="L55" s="355" t="n"/>
      <c r="M55" s="356">
        <f>SUM(M51:N54)</f>
        <v/>
      </c>
      <c r="N55" s="355" t="n"/>
      <c r="O55" s="47" t="n"/>
      <c r="P55" s="47" t="n"/>
      <c r="Q55" s="47" t="n"/>
      <c r="R55" s="47" t="n"/>
      <c r="S55" s="47" t="n"/>
      <c r="T55" s="47" t="n"/>
      <c r="U55" s="47" t="n"/>
      <c r="V55" s="47" t="n"/>
    </row>
    <row r="56" ht="12" customHeight="1" thickBot="1">
      <c r="A56" s="106" t="n"/>
      <c r="B56" s="297" t="n"/>
      <c r="C56" s="297" t="n"/>
      <c r="D56" s="297" t="n"/>
      <c r="E56" s="297" t="n"/>
      <c r="F56" s="297" t="n"/>
      <c r="G56" s="297" t="n"/>
      <c r="H56" s="297" t="n"/>
      <c r="I56" s="298" t="n"/>
      <c r="J56" s="322" t="n"/>
      <c r="K56" s="322" t="n"/>
      <c r="L56" s="318" t="n"/>
      <c r="M56" s="321" t="n"/>
      <c r="N56" s="318" t="n"/>
      <c r="O56" s="47" t="n"/>
      <c r="P56" s="47" t="n"/>
      <c r="Q56" s="47" t="n"/>
      <c r="R56" s="47" t="n"/>
      <c r="S56" s="47" t="n"/>
      <c r="T56" s="47" t="n"/>
      <c r="U56" s="47" t="n"/>
      <c r="V56" s="47" t="n"/>
    </row>
    <row r="57" ht="12" customHeight="1" thickBot="1">
      <c r="A57" s="106" t="n"/>
      <c r="B57" s="297" t="n"/>
      <c r="C57" s="297" t="n"/>
      <c r="D57" s="297" t="n"/>
      <c r="E57" s="297" t="n"/>
      <c r="F57" s="297" t="n"/>
      <c r="G57" s="297" t="n"/>
      <c r="H57" s="297" t="n"/>
      <c r="I57" s="298" t="n"/>
      <c r="J57" s="357" t="inlineStr">
        <is>
          <t>SALDO: CREDOR? DEVEDOR?</t>
        </is>
      </c>
      <c r="K57" s="354" t="n"/>
      <c r="L57" s="355" t="n"/>
      <c r="M57" s="363">
        <f>IF(M55&lt;0,"DVEEDOR","CREDOR")</f>
        <v/>
      </c>
      <c r="N57" s="355" t="n"/>
      <c r="O57" s="47" t="n"/>
      <c r="P57" s="47" t="n"/>
      <c r="Q57" s="47" t="n"/>
      <c r="R57" s="47" t="n"/>
      <c r="S57" s="47" t="n"/>
      <c r="T57" s="47" t="n"/>
      <c r="U57" s="47" t="n"/>
      <c r="V57" s="47" t="n"/>
    </row>
    <row r="58" ht="12" customHeight="1" thickBot="1">
      <c r="A58" s="106" t="n"/>
      <c r="B58" s="297" t="n"/>
      <c r="C58" s="297" t="n"/>
      <c r="D58" s="297" t="n"/>
      <c r="E58" s="297" t="n"/>
      <c r="F58" s="297" t="n"/>
      <c r="G58" s="297" t="n"/>
      <c r="H58" s="297" t="n"/>
      <c r="I58" s="298" t="n"/>
      <c r="J58" s="322" t="n"/>
      <c r="K58" s="322" t="n"/>
      <c r="L58" s="318" t="n"/>
      <c r="M58" s="321" t="n"/>
      <c r="N58" s="318" t="n"/>
      <c r="O58" s="47" t="n"/>
      <c r="P58" s="47" t="n"/>
      <c r="Q58" s="47" t="n"/>
      <c r="R58" s="47" t="n"/>
      <c r="S58" s="47" t="n"/>
      <c r="T58" s="47" t="n"/>
      <c r="U58" s="47" t="n"/>
      <c r="V58" s="47" t="n"/>
    </row>
    <row r="59" ht="12" customHeight="1">
      <c r="A59" s="106" t="n"/>
      <c r="B59" s="297" t="n"/>
      <c r="C59" s="297" t="n"/>
      <c r="D59" s="297" t="n"/>
      <c r="E59" s="297" t="n"/>
      <c r="F59" s="297" t="n"/>
      <c r="G59" s="297" t="n"/>
      <c r="H59" s="297" t="n"/>
      <c r="I59" s="298" t="n"/>
      <c r="J59" s="260" t="n"/>
      <c r="K59" s="354" t="n"/>
      <c r="L59" s="355" t="n"/>
      <c r="M59" s="364" t="n"/>
      <c r="N59" s="355" t="n"/>
      <c r="O59" s="47" t="n"/>
      <c r="P59" s="47" t="n"/>
      <c r="Q59" s="47" t="n"/>
      <c r="R59" s="47" t="n"/>
      <c r="S59" s="47" t="n"/>
      <c r="T59" s="47" t="n"/>
      <c r="U59" s="47" t="n"/>
      <c r="V59" s="47" t="n"/>
    </row>
    <row r="60" ht="12" customHeight="1" thickBot="1">
      <c r="A60" s="106" t="n"/>
      <c r="B60" s="297" t="n"/>
      <c r="C60" s="297" t="n"/>
      <c r="D60" s="297" t="n"/>
      <c r="E60" s="297" t="n"/>
      <c r="F60" s="297" t="n"/>
      <c r="G60" s="297" t="n"/>
      <c r="H60" s="297" t="n"/>
      <c r="I60" s="298" t="n"/>
      <c r="J60" s="322" t="n"/>
      <c r="K60" s="322" t="n"/>
      <c r="L60" s="318" t="n"/>
      <c r="M60" s="321" t="n"/>
      <c r="N60" s="318" t="n"/>
      <c r="O60" s="47" t="n"/>
      <c r="P60" s="47" t="n"/>
      <c r="Q60" s="47" t="n"/>
      <c r="R60" s="47" t="n"/>
      <c r="S60" s="47" t="n"/>
      <c r="T60" s="47" t="n"/>
      <c r="U60" s="47" t="n"/>
      <c r="V60" s="47" t="n"/>
    </row>
    <row r="61" ht="12" customHeight="1" thickBot="1">
      <c r="A61" s="116" t="n"/>
      <c r="B61" s="312" t="n"/>
      <c r="C61" s="312" t="n"/>
      <c r="D61" s="312" t="n"/>
      <c r="E61" s="312" t="n"/>
      <c r="F61" s="312" t="n"/>
      <c r="G61" s="312" t="n"/>
      <c r="H61" s="312" t="n"/>
      <c r="I61" s="313" t="n"/>
      <c r="J61" s="111" t="n"/>
      <c r="K61" s="322" t="n"/>
      <c r="L61" s="318" t="n"/>
      <c r="M61" s="394" t="n"/>
      <c r="N61" s="318" t="n"/>
      <c r="O61" s="47" t="n"/>
      <c r="P61" s="47" t="n"/>
      <c r="Q61" s="47" t="n"/>
      <c r="R61" s="47" t="n"/>
      <c r="S61" s="47" t="n"/>
      <c r="T61" s="47" t="n"/>
      <c r="U61" s="47" t="n"/>
      <c r="V61" s="47" t="n"/>
    </row>
    <row r="62" ht="15" customHeight="1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104" t="inlineStr">
        <is>
          <t>Colaboração do Tônio</t>
        </is>
      </c>
      <c r="M62" s="354" t="n"/>
      <c r="N62" s="354" t="n"/>
      <c r="O62" s="47" t="n"/>
      <c r="P62" s="47" t="n"/>
      <c r="Q62" s="47" t="n"/>
      <c r="R62" s="47" t="n"/>
      <c r="S62" s="47" t="n"/>
      <c r="T62" s="47" t="n"/>
      <c r="U62" s="47" t="n"/>
      <c r="V62" s="47" t="n"/>
    </row>
  </sheetData>
  <mergeCells count="94">
    <mergeCell ref="C44:E44"/>
    <mergeCell ref="A12:E13"/>
    <mergeCell ref="C31:E31"/>
    <mergeCell ref="J10:K10"/>
    <mergeCell ref="C40:E40"/>
    <mergeCell ref="A56:I56"/>
    <mergeCell ref="C21:E21"/>
    <mergeCell ref="M57:N58"/>
    <mergeCell ref="A7:B7"/>
    <mergeCell ref="C23:E23"/>
    <mergeCell ref="A53:I53"/>
    <mergeCell ref="R12:S12"/>
    <mergeCell ref="J59:L60"/>
    <mergeCell ref="C18:E18"/>
    <mergeCell ref="J61:L61"/>
    <mergeCell ref="J55:L56"/>
    <mergeCell ref="M49:N50"/>
    <mergeCell ref="C34:E34"/>
    <mergeCell ref="A48:I48"/>
    <mergeCell ref="C42:E42"/>
    <mergeCell ref="A59:I59"/>
    <mergeCell ref="A61:I61"/>
    <mergeCell ref="J47:L48"/>
    <mergeCell ref="C20:E20"/>
    <mergeCell ref="C25:E25"/>
    <mergeCell ref="C8:I8"/>
    <mergeCell ref="A11:B11"/>
    <mergeCell ref="C22:E22"/>
    <mergeCell ref="L8:N8"/>
    <mergeCell ref="J51:L52"/>
    <mergeCell ref="J57:L58"/>
    <mergeCell ref="C39:E39"/>
    <mergeCell ref="A46:B46"/>
    <mergeCell ref="C32:E32"/>
    <mergeCell ref="C38:E38"/>
    <mergeCell ref="A52:I52"/>
    <mergeCell ref="A3:N3"/>
    <mergeCell ref="J49:L50"/>
    <mergeCell ref="A5:N5"/>
    <mergeCell ref="A8:B8"/>
    <mergeCell ref="C15:E15"/>
    <mergeCell ref="F11:H11"/>
    <mergeCell ref="C24:E24"/>
    <mergeCell ref="H12:I12"/>
    <mergeCell ref="C33:E33"/>
    <mergeCell ref="J12:K12"/>
    <mergeCell ref="A49:I49"/>
    <mergeCell ref="A4:N4"/>
    <mergeCell ref="M51:N52"/>
    <mergeCell ref="C26:E26"/>
    <mergeCell ref="C46:I46"/>
    <mergeCell ref="C35:E35"/>
    <mergeCell ref="C16:E16"/>
    <mergeCell ref="L62:N62"/>
    <mergeCell ref="K9:L9"/>
    <mergeCell ref="J46:M46"/>
    <mergeCell ref="C7:I7"/>
    <mergeCell ref="A55:I55"/>
    <mergeCell ref="A45:K45"/>
    <mergeCell ref="K6:N6"/>
    <mergeCell ref="C11:E11"/>
    <mergeCell ref="C36:E36"/>
    <mergeCell ref="A57:I57"/>
    <mergeCell ref="M53:N54"/>
    <mergeCell ref="M47:N48"/>
    <mergeCell ref="C28:E28"/>
    <mergeCell ref="C37:E37"/>
    <mergeCell ref="M59:N60"/>
    <mergeCell ref="A2:N2"/>
    <mergeCell ref="C10:I10"/>
    <mergeCell ref="C30:E30"/>
    <mergeCell ref="C14:E14"/>
    <mergeCell ref="C9:I9"/>
    <mergeCell ref="I11:N11"/>
    <mergeCell ref="P12:Q12"/>
    <mergeCell ref="C41:E41"/>
    <mergeCell ref="A50:I50"/>
    <mergeCell ref="C43:E43"/>
    <mergeCell ref="A6:B6"/>
    <mergeCell ref="F12:G12"/>
    <mergeCell ref="C27:E27"/>
    <mergeCell ref="A47:I47"/>
    <mergeCell ref="J53:L54"/>
    <mergeCell ref="C17:E17"/>
    <mergeCell ref="C6:I6"/>
    <mergeCell ref="C19:E19"/>
    <mergeCell ref="J7:K7"/>
    <mergeCell ref="A58:I58"/>
    <mergeCell ref="M61:N61"/>
    <mergeCell ref="M55:N56"/>
    <mergeCell ref="A51:I51"/>
    <mergeCell ref="A60:I60"/>
    <mergeCell ref="C29:E29"/>
    <mergeCell ref="A54:I54"/>
  </mergeCells>
  <conditionalFormatting sqref="A14:A44">
    <cfRule type="containsText" priority="46" operator="containsText" dxfId="25" stopIfTrue="1" text="F">
      <formula>NOT(ISERROR(SEARCH("F",A14)))</formula>
    </cfRule>
  </conditionalFormatting>
  <conditionalFormatting sqref="C14:E44">
    <cfRule type="cellIs" priority="44" operator="equal" dxfId="11" stopIfTrue="1">
      <formula>2</formula>
    </cfRule>
    <cfRule type="cellIs" priority="45" operator="equal" dxfId="11" stopIfTrue="1">
      <formula>8</formula>
    </cfRule>
  </conditionalFormatting>
  <conditionalFormatting sqref="L45">
    <cfRule type="cellIs" priority="39" operator="equal" dxfId="10" stopIfTrue="1">
      <formula>0</formula>
    </cfRule>
  </conditionalFormatting>
  <conditionalFormatting sqref="L14:M44">
    <cfRule type="cellIs" priority="41" operator="equal" dxfId="10" stopIfTrue="1">
      <formula>0</formula>
    </cfRule>
  </conditionalFormatting>
  <conditionalFormatting sqref="L14:N45">
    <cfRule type="cellIs" priority="40" operator="greaterThan" dxfId="10" stopIfTrue="1">
      <formula>0</formula>
    </cfRule>
    <cfRule type="cellIs" priority="42" operator="lessThan" dxfId="11" stopIfTrue="1">
      <formula>0</formula>
    </cfRule>
  </conditionalFormatting>
  <conditionalFormatting sqref="M47:N48">
    <cfRule type="cellIs" priority="35" operator="equal" dxfId="10" stopIfTrue="1">
      <formula>0</formula>
    </cfRule>
  </conditionalFormatting>
  <conditionalFormatting sqref="M47:N52 M53 M55 M57:N58 M59">
    <cfRule type="cellIs" priority="37" operator="greaterThan" dxfId="10" stopIfTrue="1">
      <formula>0</formula>
    </cfRule>
    <cfRule type="cellIs" priority="38" operator="lessThan" dxfId="11" stopIfTrue="1">
      <formula>0</formula>
    </cfRule>
  </conditionalFormatting>
  <conditionalFormatting sqref="M51:N52 M53 M55">
    <cfRule type="cellIs" priority="36" operator="equal" dxfId="14" stopIfTrue="1">
      <formula>0</formula>
    </cfRule>
  </conditionalFormatting>
  <conditionalFormatting sqref="M57:N58 M59">
    <cfRule type="cellIs" priority="32" operator="equal" dxfId="13" stopIfTrue="1">
      <formula>0</formula>
    </cfRule>
  </conditionalFormatting>
  <conditionalFormatting sqref="N14:N44">
    <cfRule type="cellIs" priority="43" operator="equal" dxfId="10" stopIfTrue="1">
      <formula>0</formula>
    </cfRule>
  </conditionalFormatting>
  <conditionalFormatting sqref="N14:N45">
    <cfRule type="cellIs" priority="47" operator="equal" dxfId="4" stopIfTrue="1">
      <formula>0</formula>
    </cfRule>
  </conditionalFormatting>
  <pageMargins left="0" right="0" top="0.5905511811023623" bottom="0.5905511811023623" header="0.3149606299212598" footer="0.3149606299212598"/>
  <pageSetup orientation="portrait" paperSize="9" scale="8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62"/>
  <sheetViews>
    <sheetView tabSelected="1" topLeftCell="A6" workbookViewId="0">
      <selection activeCell="K21" sqref="K21"/>
    </sheetView>
  </sheetViews>
  <sheetFormatPr baseColWidth="8" defaultRowHeight="15"/>
  <cols>
    <col width="4.42578125" customWidth="1" min="4" max="4"/>
    <col width="11.28515625" customWidth="1" min="16" max="16"/>
    <col width="12.140625" customWidth="1" min="19" max="19"/>
    <col hidden="1" width="12.140625" customWidth="1" min="20" max="20"/>
    <col width="12.140625" customWidth="1" min="21" max="21"/>
  </cols>
  <sheetData>
    <row r="1">
      <c r="A1" s="52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4" t="n"/>
    </row>
    <row r="2" ht="15.75" customHeight="1">
      <c r="A2" s="286" t="inlineStr">
        <is>
          <t>GOVERNO DO ESTADO DO ESPÍRITO SANTO</t>
        </is>
      </c>
      <c r="N2" s="287" t="n"/>
    </row>
    <row r="3" ht="19.5" customHeight="1">
      <c r="A3" s="286" t="inlineStr">
        <is>
          <t>SUPERINTENDÊNCIA REGIONAL DE EDUCAÇÃO DE CARAPINA</t>
        </is>
      </c>
      <c r="N3" s="287" t="n"/>
    </row>
    <row r="4" ht="25.5" customHeight="1">
      <c r="A4" s="288" t="inlineStr">
        <is>
          <t>CARTÃO DE PONTO</t>
        </is>
      </c>
      <c r="N4" s="287" t="n"/>
      <c r="Q4" s="289" t="n">
        <v>0</v>
      </c>
      <c r="R4" t="inlineStr">
        <is>
          <t>saldo anterior</t>
        </is>
      </c>
    </row>
    <row r="5" ht="6.75" customHeight="1" thickBot="1">
      <c r="A5" s="290" t="n"/>
      <c r="N5" s="287" t="n"/>
    </row>
    <row r="6" ht="15.75" customHeight="1">
      <c r="A6" s="186" t="inlineStr">
        <is>
          <t xml:space="preserve">NOME: </t>
        </is>
      </c>
      <c r="B6" s="291" t="n"/>
      <c r="C6" s="188">
        <f>JAN!C6:I6</f>
        <v/>
      </c>
      <c r="D6" s="292" t="n"/>
      <c r="E6" s="292" t="n"/>
      <c r="F6" s="292" t="n"/>
      <c r="G6" s="292" t="n"/>
      <c r="H6" s="292" t="n"/>
      <c r="I6" s="293" t="n"/>
      <c r="J6" s="1" t="inlineStr">
        <is>
          <t>MÊS:</t>
        </is>
      </c>
      <c r="K6" s="294" t="n">
        <v>43616</v>
      </c>
      <c r="L6" s="292" t="n"/>
      <c r="M6" s="292" t="n"/>
      <c r="N6" s="293" t="n"/>
    </row>
    <row r="7">
      <c r="A7" s="295" t="inlineStr">
        <is>
          <t>CARGO:</t>
        </is>
      </c>
      <c r="B7" s="296" t="n"/>
      <c r="C7" s="203">
        <f>JAN!C7:I7</f>
        <v/>
      </c>
      <c r="D7" s="297" t="n"/>
      <c r="E7" s="297" t="n"/>
      <c r="F7" s="297" t="n"/>
      <c r="G7" s="297" t="n"/>
      <c r="H7" s="297" t="n"/>
      <c r="I7" s="298" t="n"/>
      <c r="J7" s="299" t="inlineStr">
        <is>
          <t>CH DIÁRIA:</t>
        </is>
      </c>
      <c r="K7" s="296" t="n"/>
      <c r="L7" s="300">
        <f>JAN!L7</f>
        <v/>
      </c>
      <c r="M7" s="301">
        <f>JAN!M7</f>
        <v/>
      </c>
      <c r="N7" s="302">
        <f>JAN!N7</f>
        <v/>
      </c>
    </row>
    <row r="8" ht="16.5" customHeight="1">
      <c r="A8" s="295" t="inlineStr">
        <is>
          <t>FUNÇÃO:</t>
        </is>
      </c>
      <c r="B8" s="296" t="n"/>
      <c r="C8" s="303">
        <f>JAN!C8:I8</f>
        <v/>
      </c>
      <c r="D8" s="297" t="n"/>
      <c r="E8" s="297" t="n"/>
      <c r="F8" s="297" t="n"/>
      <c r="G8" s="297" t="n"/>
      <c r="H8" s="297" t="n"/>
      <c r="I8" s="298" t="n"/>
      <c r="J8" s="4" t="inlineStr">
        <is>
          <t>DIAS ÚTEIS:</t>
        </is>
      </c>
      <c r="K8" s="5" t="n"/>
      <c r="L8" s="304">
        <f>COUNTIF(A14:A43,"U")</f>
        <v/>
      </c>
      <c r="M8" s="305" t="n"/>
      <c r="N8" s="306" t="n"/>
    </row>
    <row r="9" ht="16.5" customHeight="1">
      <c r="A9" s="2" t="inlineStr">
        <is>
          <t>EMPRESA:</t>
        </is>
      </c>
      <c r="B9" s="3" t="n"/>
      <c r="C9" s="129">
        <f>JAN!C9:I9</f>
        <v/>
      </c>
      <c r="D9" s="297" t="n"/>
      <c r="E9" s="297" t="n"/>
      <c r="F9" s="297" t="n"/>
      <c r="G9" s="297" t="n"/>
      <c r="H9" s="297" t="n"/>
      <c r="I9" s="298" t="n"/>
      <c r="J9" s="4" t="inlineStr">
        <is>
          <t>CNPJ:</t>
        </is>
      </c>
      <c r="K9" s="307">
        <f>JAN!K9:L9</f>
        <v/>
      </c>
      <c r="L9" s="296" t="n"/>
      <c r="M9" s="38" t="inlineStr">
        <is>
          <t>EXERCÍCIO:</t>
        </is>
      </c>
      <c r="N9" s="42" t="n">
        <v>2021</v>
      </c>
      <c r="P9" t="inlineStr">
        <is>
          <t>U: DIA ÚTIL</t>
        </is>
      </c>
    </row>
    <row r="10" ht="16.5" customHeight="1">
      <c r="A10" s="2" t="inlineStr">
        <is>
          <t>LOCALIZAÇÃO:</t>
        </is>
      </c>
      <c r="B10" s="3" t="n"/>
      <c r="C10" s="203">
        <f>JAN!C10:I10</f>
        <v/>
      </c>
      <c r="D10" s="297" t="n"/>
      <c r="E10" s="297" t="n"/>
      <c r="F10" s="297" t="n"/>
      <c r="G10" s="297" t="n"/>
      <c r="H10" s="297" t="n"/>
      <c r="I10" s="298" t="n"/>
      <c r="J10" s="395" t="inlineStr">
        <is>
          <t>NÚMERO FUNCIONAL:</t>
        </is>
      </c>
      <c r="K10" s="296" t="n"/>
      <c r="L10" s="43">
        <f>JAN!L10</f>
        <v/>
      </c>
      <c r="M10" s="37" t="inlineStr">
        <is>
          <t>VÍNCULO:</t>
        </is>
      </c>
      <c r="N10" s="44">
        <f>JAN!N10</f>
        <v/>
      </c>
      <c r="P10" t="inlineStr">
        <is>
          <t>F: SÁBADOS; DOMINGOS E FERIADOS</t>
        </is>
      </c>
    </row>
    <row r="11" ht="16.5" customHeight="1" thickBot="1">
      <c r="A11" s="309" t="inlineStr">
        <is>
          <t>REGIME JURÍDICO:</t>
        </is>
      </c>
      <c r="B11" s="310" t="n"/>
      <c r="C11" s="311">
        <f>JAN!C11:E11</f>
        <v/>
      </c>
      <c r="D11" s="312" t="n"/>
      <c r="E11" s="313" t="n"/>
      <c r="F11" s="314" t="inlineStr">
        <is>
          <t>ÓRGÃO DE EXERCÍCIO:</t>
        </is>
      </c>
      <c r="G11" s="315" t="n"/>
      <c r="H11" s="310" t="n"/>
      <c r="I11" s="316" t="inlineStr">
        <is>
          <t>Secretaria de Estado da Educação</t>
        </is>
      </c>
      <c r="J11" s="312" t="n"/>
      <c r="K11" s="312" t="n"/>
      <c r="L11" s="312" t="n"/>
      <c r="M11" s="312" t="n"/>
      <c r="N11" s="317" t="n"/>
    </row>
    <row r="12" ht="39" customHeight="1" thickBot="1">
      <c r="A12" s="168" t="inlineStr">
        <is>
          <t>DIAS DA SEMANA</t>
        </is>
      </c>
      <c r="E12" s="287" t="n"/>
      <c r="F12" s="170" t="inlineStr">
        <is>
          <t>1º TURNO</t>
        </is>
      </c>
      <c r="G12" s="318" t="n"/>
      <c r="H12" s="170" t="inlineStr">
        <is>
          <t>2º TURNO</t>
        </is>
      </c>
      <c r="I12" s="318" t="n"/>
      <c r="J12" s="170" t="inlineStr">
        <is>
          <t>3º TURNO</t>
        </is>
      </c>
      <c r="K12" s="318" t="n"/>
      <c r="L12" s="6" t="inlineStr">
        <is>
          <t xml:space="preserve">HORAS TRABALHADAS </t>
        </is>
      </c>
      <c r="M12" s="6" t="inlineStr">
        <is>
          <t>CH PADRÃO</t>
        </is>
      </c>
      <c r="N12" s="6" t="inlineStr">
        <is>
          <t xml:space="preserve">SALDO </t>
        </is>
      </c>
      <c r="O12" s="47" t="n"/>
      <c r="P12" s="173" t="inlineStr">
        <is>
          <t>saldo acumulado até hoje</t>
        </is>
      </c>
      <c r="Q12" s="47" t="n"/>
      <c r="R12" s="319">
        <f>SUM(U14:U44)+SUM(FEV!U44)+SUM(MAR!U14:U44)+SUM(ABR!U14:U44)+SUM(MAIO!U14:U44)+SUM(JUN!U14:U44)+SUM(JUL!U14:U44)+SUM(AGO!U14:U44)+SUM(SET!U14:U44)+SUM(OUT!U14:U44)+SUM(NOV!U14:U44)+SUM(DEZ!U14:U44)</f>
        <v/>
      </c>
      <c r="S12" s="320" t="n"/>
      <c r="U12" s="66">
        <f>TODAY()</f>
        <v/>
      </c>
    </row>
    <row r="13" ht="26.25" customHeight="1" thickBot="1">
      <c r="A13" s="321" t="n"/>
      <c r="B13" s="322" t="n"/>
      <c r="C13" s="322" t="n"/>
      <c r="D13" s="322" t="n"/>
      <c r="E13" s="318" t="n"/>
      <c r="F13" s="7" t="inlineStr">
        <is>
          <t>ENTRADA MANHÃ</t>
        </is>
      </c>
      <c r="G13" s="7" t="inlineStr">
        <is>
          <t>SAÍDA MANHÃ</t>
        </is>
      </c>
      <c r="H13" s="7" t="inlineStr">
        <is>
          <t>ENTRADA TARDE</t>
        </is>
      </c>
      <c r="I13" s="7" t="inlineStr">
        <is>
          <t>SAÍDA DA TARDE</t>
        </is>
      </c>
      <c r="J13" s="7" t="inlineStr">
        <is>
          <t>ENTRADA EXTRA</t>
        </is>
      </c>
      <c r="K13" s="7" t="inlineStr">
        <is>
          <t>SAÍDA EXTRA</t>
        </is>
      </c>
      <c r="L13" s="8" t="inlineStr">
        <is>
          <t>POR DIA</t>
        </is>
      </c>
      <c r="M13" s="8" t="inlineStr">
        <is>
          <t>DIÁRIA</t>
        </is>
      </c>
      <c r="N13" s="8" t="inlineStr">
        <is>
          <t>DIÁRIO</t>
        </is>
      </c>
      <c r="O13" s="47" t="n"/>
    </row>
    <row r="14" ht="16.5" customHeight="1" thickBot="1">
      <c r="A14" s="17" t="inlineStr">
        <is>
          <t>F</t>
        </is>
      </c>
      <c r="B14" s="45">
        <f>K6</f>
        <v/>
      </c>
      <c r="C14" s="390">
        <f>WEEKDAY(B14)+1</f>
        <v/>
      </c>
      <c r="D14" s="351" t="n"/>
      <c r="E14" s="291" t="n"/>
      <c r="F14" s="391" t="n">
        <v>0</v>
      </c>
      <c r="G14" s="396" t="n">
        <v>0</v>
      </c>
      <c r="H14" s="396" t="n">
        <v>0</v>
      </c>
      <c r="I14" s="397" t="n">
        <v>0</v>
      </c>
      <c r="J14" s="374" t="n"/>
      <c r="K14" s="328" t="n"/>
      <c r="L14" s="329">
        <f>IF(A14="U",(G14-F14)+(I14-H14)+(K14-J14),"NÃO ÚTIL")</f>
        <v/>
      </c>
      <c r="M14" s="330">
        <f>IF(A14="U",L7,"NÃO ÚTIL")</f>
        <v/>
      </c>
      <c r="N14" s="331">
        <f>IF(A14="U",(L14-M14),"NÃO ÚTIL")</f>
        <v/>
      </c>
      <c r="O14" s="47" t="n"/>
      <c r="P14" s="332">
        <f>IF(N14="não útil",0,N14)</f>
        <v/>
      </c>
      <c r="Q14" s="332">
        <f>P14</f>
        <v/>
      </c>
      <c r="R14" s="332">
        <f>Q14+$Q$4</f>
        <v/>
      </c>
      <c r="S14" s="47">
        <f>IF(B14=T14,"HOJE",".")</f>
        <v/>
      </c>
      <c r="T14" s="62">
        <f>TODAY()</f>
        <v/>
      </c>
      <c r="U14" s="332">
        <f>IF(S14="HOJE",R14,0)</f>
        <v/>
      </c>
      <c r="V14" s="47" t="n"/>
    </row>
    <row r="15" ht="16.5" customHeight="1" thickBot="1">
      <c r="A15" s="17" t="inlineStr">
        <is>
          <t>F</t>
        </is>
      </c>
      <c r="B15" s="46">
        <f>B14+1</f>
        <v/>
      </c>
      <c r="C15" s="393">
        <f>WEEKDAY(B15)+1</f>
        <v/>
      </c>
      <c r="D15" s="305" t="n"/>
      <c r="E15" s="296" t="n"/>
      <c r="F15" s="402" t="n">
        <v>0</v>
      </c>
      <c r="G15" s="372" t="n">
        <v>0</v>
      </c>
      <c r="H15" s="372" t="n">
        <v>0</v>
      </c>
      <c r="I15" s="373" t="n">
        <v>0</v>
      </c>
      <c r="J15" s="376" t="n"/>
      <c r="K15" s="336" t="n"/>
      <c r="L15" s="329">
        <f>IF(A15="U",(G15-F15)+(I15-H15)+(K15-J15),"NÃO ÚTIL")</f>
        <v/>
      </c>
      <c r="M15" s="330">
        <f>IF(A15="U",L7,"NÃO ÚTIL")</f>
        <v/>
      </c>
      <c r="N15" s="331">
        <f>IF(A15="U",(L15-M15),"NÃO ÚTIL")</f>
        <v/>
      </c>
      <c r="O15" s="337" t="n"/>
      <c r="P15" s="332">
        <f>IF(N15="não útil",0,N15)</f>
        <v/>
      </c>
      <c r="Q15" s="337">
        <f>P15+Q14</f>
        <v/>
      </c>
      <c r="R15" s="332">
        <f>Q15+$Q$4</f>
        <v/>
      </c>
      <c r="S15" s="47">
        <f>IF(B15=T15,"HOJE",".")</f>
        <v/>
      </c>
      <c r="T15" s="62">
        <f>TODAY()</f>
        <v/>
      </c>
      <c r="U15" s="332">
        <f>IF(S15="HOJE",R15,0)</f>
        <v/>
      </c>
      <c r="V15" s="47" t="n"/>
    </row>
    <row r="16" ht="16.5" customHeight="1" thickBot="1">
      <c r="A16" s="17">
        <f>IF(OR(C16=2,C16=8),"F","U")</f>
        <v/>
      </c>
      <c r="B16" s="46">
        <f>B15+1</f>
        <v/>
      </c>
      <c r="C16" s="393">
        <f>WEEKDAY(B16)+1</f>
        <v/>
      </c>
      <c r="D16" s="305" t="n"/>
      <c r="E16" s="296" t="n"/>
      <c r="F16" s="371" t="n">
        <v>0</v>
      </c>
      <c r="G16" s="372" t="n">
        <v>0</v>
      </c>
      <c r="H16" s="372" t="n">
        <v>0</v>
      </c>
      <c r="I16" s="373" t="n">
        <v>0</v>
      </c>
      <c r="J16" s="377" t="n"/>
      <c r="K16" s="339" t="n"/>
      <c r="L16" s="329">
        <f>IF(A16="U",(G16-F16)+(I16-H16)+(K16-J16),"NÃO ÚTIL")</f>
        <v/>
      </c>
      <c r="M16" s="330">
        <f>IF(A16="U",L7,"NÃO ÚTIL")</f>
        <v/>
      </c>
      <c r="N16" s="331">
        <f>IF(A16="U",(L16-M16),"NÃO ÚTIL")</f>
        <v/>
      </c>
      <c r="O16" s="337" t="n"/>
      <c r="P16" s="332">
        <f>IF(N16="não útil",0,N16)</f>
        <v/>
      </c>
      <c r="Q16" s="337">
        <f>P16+Q15</f>
        <v/>
      </c>
      <c r="R16" s="332">
        <f>Q16+$Q$4</f>
        <v/>
      </c>
      <c r="S16" s="47">
        <f>IF(B16=T16,"HOJE",".")</f>
        <v/>
      </c>
      <c r="T16" s="62">
        <f>TODAY()</f>
        <v/>
      </c>
      <c r="U16" s="332">
        <f>IF(S16="HOJE",R16,0)</f>
        <v/>
      </c>
      <c r="V16" s="47" t="n"/>
    </row>
    <row r="17" ht="16.5" customHeight="1" thickBot="1">
      <c r="A17" s="17">
        <f>IF(OR(C17=2,C17=8),"F","U")</f>
        <v/>
      </c>
      <c r="B17" s="46">
        <f>B16+1</f>
        <v/>
      </c>
      <c r="C17" s="393">
        <f>WEEKDAY(B17)+1</f>
        <v/>
      </c>
      <c r="D17" s="305" t="n"/>
      <c r="E17" s="296" t="n"/>
      <c r="F17" s="391" t="n">
        <v>0</v>
      </c>
      <c r="G17" s="396" t="n">
        <v>0</v>
      </c>
      <c r="H17" s="396" t="n">
        <v>0</v>
      </c>
      <c r="I17" s="397" t="n">
        <v>0</v>
      </c>
      <c r="J17" s="378" t="n"/>
      <c r="K17" s="341" t="n"/>
      <c r="L17" s="329">
        <f>IF(A17="U",(G17-F17)+(I17-H17)+(K17-J17),"NÃO ÚTIL")</f>
        <v/>
      </c>
      <c r="M17" s="330">
        <f>IF(A17="U",L7,"NÃO ÚTIL")</f>
        <v/>
      </c>
      <c r="N17" s="331">
        <f>IF(A17="U",(L17-M17),"NÃO ÚTIL")</f>
        <v/>
      </c>
      <c r="O17" s="47" t="n"/>
      <c r="P17" s="332">
        <f>IF(N17="não útil",0,N17)</f>
        <v/>
      </c>
      <c r="Q17" s="337">
        <f>P17+Q16</f>
        <v/>
      </c>
      <c r="R17" s="332">
        <f>Q17+$Q$4</f>
        <v/>
      </c>
      <c r="S17" s="47">
        <f>IF(B17=T17,"HOJE",".")</f>
        <v/>
      </c>
      <c r="T17" s="62">
        <f>TODAY()</f>
        <v/>
      </c>
      <c r="U17" s="332">
        <f>IF(S17="HOJE",R17,0)</f>
        <v/>
      </c>
      <c r="V17" s="47" t="n"/>
    </row>
    <row r="18" ht="16.5" customHeight="1" thickBot="1">
      <c r="A18" s="17">
        <f>IF(OR(C18=2,C18=8),"F","U")</f>
        <v/>
      </c>
      <c r="B18" s="46">
        <f>B17+1</f>
        <v/>
      </c>
      <c r="C18" s="393">
        <f>WEEKDAY(B18)+1</f>
        <v/>
      </c>
      <c r="D18" s="305" t="n"/>
      <c r="E18" s="296" t="n"/>
      <c r="F18" s="391" t="n">
        <v>0</v>
      </c>
      <c r="G18" s="396" t="n">
        <v>0</v>
      </c>
      <c r="H18" s="396" t="n">
        <v>0</v>
      </c>
      <c r="I18" s="397" t="n">
        <v>0</v>
      </c>
      <c r="J18" s="377" t="n"/>
      <c r="K18" s="339" t="n"/>
      <c r="L18" s="329">
        <f>IF(A18="U",(G18-F18)+(I18-H18)+(K18-J18),"NÃO ÚTIL")</f>
        <v/>
      </c>
      <c r="M18" s="330">
        <f>IF(A18="U",L7,"NÃO ÚTIL")</f>
        <v/>
      </c>
      <c r="N18" s="331">
        <f>IF(A18="U",(L18-M18),"NÃO ÚTIL")</f>
        <v/>
      </c>
      <c r="O18" s="47" t="n"/>
      <c r="P18" s="332">
        <f>IF(N18="não útil",0,N18)</f>
        <v/>
      </c>
      <c r="Q18" s="337">
        <f>P18+Q17</f>
        <v/>
      </c>
      <c r="R18" s="332">
        <f>Q18+$Q$4</f>
        <v/>
      </c>
      <c r="S18" s="47">
        <f>IF(B18=T18,"HOJE",".")</f>
        <v/>
      </c>
      <c r="T18" s="62">
        <f>TODAY()</f>
        <v/>
      </c>
      <c r="U18" s="332">
        <f>IF(S18="HOJE",R18,0)</f>
        <v/>
      </c>
      <c r="V18" s="47" t="n"/>
    </row>
    <row r="19" ht="16.5" customHeight="1" thickBot="1">
      <c r="A19" s="17">
        <f>IF(OR(C19=2,C19=8),"F","U")</f>
        <v/>
      </c>
      <c r="B19" s="46">
        <f>B18+1</f>
        <v/>
      </c>
      <c r="C19" s="393">
        <f>WEEKDAY(B19)+1</f>
        <v/>
      </c>
      <c r="D19" s="305" t="n"/>
      <c r="E19" s="296" t="n"/>
      <c r="F19" s="391" t="n">
        <v>0</v>
      </c>
      <c r="G19" s="396" t="n">
        <v>0</v>
      </c>
      <c r="H19" s="396" t="n">
        <v>0</v>
      </c>
      <c r="I19" s="397" t="n">
        <v>0</v>
      </c>
      <c r="J19" s="376" t="n"/>
      <c r="K19" s="336" t="n"/>
      <c r="L19" s="329">
        <f>IF(A19="U",(G19-F19)+(I19-H19)+(K19-J19),"NÃO ÚTIL")</f>
        <v/>
      </c>
      <c r="M19" s="330">
        <f>IF(A19="U",L7,"NÃO ÚTIL")</f>
        <v/>
      </c>
      <c r="N19" s="331">
        <f>IF(A19="U",(L19-M19),"NÃO ÚTIL")</f>
        <v/>
      </c>
      <c r="O19" s="47" t="n"/>
      <c r="P19" s="332">
        <f>IF(N19="não útil",0,N19)</f>
        <v/>
      </c>
      <c r="Q19" s="337">
        <f>P19+Q18</f>
        <v/>
      </c>
      <c r="R19" s="332">
        <f>Q19+$Q$4</f>
        <v/>
      </c>
      <c r="S19" s="47">
        <f>IF(B19=T19,"HOJE",".")</f>
        <v/>
      </c>
      <c r="T19" s="62">
        <f>TODAY()</f>
        <v/>
      </c>
      <c r="U19" s="332">
        <f>IF(S19="HOJE",R19,0)</f>
        <v/>
      </c>
      <c r="V19" s="47" t="n"/>
    </row>
    <row r="20" ht="16.5" customHeight="1" thickBot="1">
      <c r="A20" s="17">
        <f>IF(OR(C20=2,C20=8),"F","U")</f>
        <v/>
      </c>
      <c r="B20" s="46">
        <f>B19+1</f>
        <v/>
      </c>
      <c r="C20" s="393">
        <f>WEEKDAY(B20)+1</f>
        <v/>
      </c>
      <c r="D20" s="305" t="n"/>
      <c r="E20" s="296" t="n"/>
      <c r="F20" s="391" t="n">
        <v>0</v>
      </c>
      <c r="G20" s="396" t="n">
        <v>0</v>
      </c>
      <c r="H20" s="396" t="n">
        <v>0</v>
      </c>
      <c r="I20" s="397" t="n">
        <v>0</v>
      </c>
      <c r="J20" s="376" t="n"/>
      <c r="K20" s="336" t="n"/>
      <c r="L20" s="329">
        <f>IF(A20="U",(G20-F20)+(I20-H20)+(K20-J20),"NÃO ÚTIL")</f>
        <v/>
      </c>
      <c r="M20" s="330">
        <f>IF(A20="U",L7,"NÃO ÚTIL")</f>
        <v/>
      </c>
      <c r="N20" s="331">
        <f>IF(A20="U",(L20-M20),"NÃO ÚTIL")</f>
        <v/>
      </c>
      <c r="O20" s="47" t="n"/>
      <c r="P20" s="332">
        <f>IF(N20="não útil",0,N20)</f>
        <v/>
      </c>
      <c r="Q20" s="337">
        <f>P20+Q19</f>
        <v/>
      </c>
      <c r="R20" s="332">
        <f>Q20+$Q$4</f>
        <v/>
      </c>
      <c r="S20" s="47">
        <f>IF(B20=T20,"HOJE",".")</f>
        <v/>
      </c>
      <c r="T20" s="62">
        <f>TODAY()</f>
        <v/>
      </c>
      <c r="U20" s="332">
        <f>IF(S20="HOJE",R20,0)</f>
        <v/>
      </c>
      <c r="V20" s="47" t="n"/>
    </row>
    <row r="21" ht="16.5" customHeight="1" thickBot="1">
      <c r="A21" s="17">
        <f>IF(OR(C21=2,C21=8),"F","U")</f>
        <v/>
      </c>
      <c r="B21" s="46">
        <f>B20+1</f>
        <v/>
      </c>
      <c r="C21" s="393">
        <f>WEEKDAY(B21)+1</f>
        <v/>
      </c>
      <c r="D21" s="305" t="n"/>
      <c r="E21" s="296" t="n"/>
      <c r="F21" s="391" t="n">
        <v>0</v>
      </c>
      <c r="G21" s="396" t="n">
        <v>0</v>
      </c>
      <c r="H21" s="396" t="n">
        <v>0</v>
      </c>
      <c r="I21" s="397" t="n">
        <v>0</v>
      </c>
      <c r="J21" s="378" t="n"/>
      <c r="K21" s="341" t="n"/>
      <c r="L21" s="329">
        <f>IF(A21="U",(G21-F21)+(I21-H21)+(K21-J21),"NÃO ÚTIL")</f>
        <v/>
      </c>
      <c r="M21" s="330">
        <f>IF(A21="U",L7,"NÃO ÚTIL")</f>
        <v/>
      </c>
      <c r="N21" s="331">
        <f>IF(A21="U",(L21-M21),"NÃO ÚTIL")</f>
        <v/>
      </c>
      <c r="O21" s="47" t="n"/>
      <c r="P21" s="332">
        <f>IF(N21="não útil",0,N21)</f>
        <v/>
      </c>
      <c r="Q21" s="337">
        <f>P21+Q20</f>
        <v/>
      </c>
      <c r="R21" s="332">
        <f>Q21+$Q$4</f>
        <v/>
      </c>
      <c r="S21" s="47">
        <f>IF(B21=T21,"HOJE",".")</f>
        <v/>
      </c>
      <c r="T21" s="62">
        <f>TODAY()</f>
        <v/>
      </c>
      <c r="U21" s="332">
        <f>IF(S21="HOJE",R21,0)</f>
        <v/>
      </c>
      <c r="V21" s="47" t="n"/>
    </row>
    <row r="22" ht="16.5" customHeight="1" thickBot="1">
      <c r="A22" s="17">
        <f>IF(OR(C22=2,C22=8),"F","U")</f>
        <v/>
      </c>
      <c r="B22" s="46">
        <f>B21+1</f>
        <v/>
      </c>
      <c r="C22" s="393">
        <f>WEEKDAY(B22)+1</f>
        <v/>
      </c>
      <c r="D22" s="305" t="n"/>
      <c r="E22" s="296" t="n"/>
      <c r="F22" s="391" t="n">
        <v>0</v>
      </c>
      <c r="G22" s="396" t="n">
        <v>0</v>
      </c>
      <c r="H22" s="396" t="n">
        <v>0</v>
      </c>
      <c r="I22" s="397" t="n">
        <v>0</v>
      </c>
      <c r="J22" s="377" t="n"/>
      <c r="K22" s="339" t="n"/>
      <c r="L22" s="329">
        <f>IF(A22="U",(G22-F22)+(I22-H22)+(K22-J22),"NÃO ÚTIL")</f>
        <v/>
      </c>
      <c r="M22" s="330">
        <f>IF(A22="U",L7,"NÃO ÚTIL")</f>
        <v/>
      </c>
      <c r="N22" s="331">
        <f>IF(A22="U",(L22-M22),"NÃO ÚTIL")</f>
        <v/>
      </c>
      <c r="O22" s="47" t="n"/>
      <c r="P22" s="332">
        <f>IF(N22="não útil",0,N22)</f>
        <v/>
      </c>
      <c r="Q22" s="337">
        <f>P22+Q21</f>
        <v/>
      </c>
      <c r="R22" s="332">
        <f>Q22+$Q$4</f>
        <v/>
      </c>
      <c r="S22" s="47">
        <f>IF(B22=T22,"HOJE",".")</f>
        <v/>
      </c>
      <c r="T22" s="62">
        <f>TODAY()</f>
        <v/>
      </c>
      <c r="U22" s="332">
        <f>IF(S22="HOJE",R22,0)</f>
        <v/>
      </c>
      <c r="V22" s="47" t="n"/>
    </row>
    <row r="23" ht="16.5" customHeight="1" thickBot="1">
      <c r="A23" s="17">
        <f>IF(OR(C23=2,C23=8),"F","U")</f>
        <v/>
      </c>
      <c r="B23" s="46">
        <f>B22+1</f>
        <v/>
      </c>
      <c r="C23" s="393">
        <f>WEEKDAY(B23)+1</f>
        <v/>
      </c>
      <c r="D23" s="305" t="n"/>
      <c r="E23" s="296" t="n"/>
      <c r="F23" s="391" t="n">
        <v>0</v>
      </c>
      <c r="G23" s="396" t="n">
        <v>0</v>
      </c>
      <c r="H23" s="396" t="n">
        <v>0</v>
      </c>
      <c r="I23" s="397" t="n">
        <v>0</v>
      </c>
      <c r="J23" s="376" t="n"/>
      <c r="K23" s="336" t="n"/>
      <c r="L23" s="329">
        <f>IF(A23="U",(G23-F23)+(I23-H23)+(K23-J23),"NÃO ÚTIL")</f>
        <v/>
      </c>
      <c r="M23" s="330">
        <f>IF(A23="U",L7,"NÃO ÚTIL")</f>
        <v/>
      </c>
      <c r="N23" s="331">
        <f>IF(A23="U",(L23-M23),"NÃO ÚTIL")</f>
        <v/>
      </c>
      <c r="O23" s="47" t="n"/>
      <c r="P23" s="332">
        <f>IF(N23="não útil",0,N23)</f>
        <v/>
      </c>
      <c r="Q23" s="337">
        <f>P23+Q22</f>
        <v/>
      </c>
      <c r="R23" s="332">
        <f>Q23+$Q$4</f>
        <v/>
      </c>
      <c r="S23" s="47">
        <f>IF(B23=T23,"HOJE",".")</f>
        <v/>
      </c>
      <c r="T23" s="62">
        <f>TODAY()</f>
        <v/>
      </c>
      <c r="U23" s="332">
        <f>IF(S23="HOJE",R23,0)</f>
        <v/>
      </c>
      <c r="V23" s="47" t="n"/>
    </row>
    <row r="24" ht="16.5" customHeight="1" thickBot="1">
      <c r="A24" s="17">
        <f>IF(OR(C24=2,C24=8),"F","U")</f>
        <v/>
      </c>
      <c r="B24" s="46">
        <f>B23+1</f>
        <v/>
      </c>
      <c r="C24" s="393">
        <f>WEEKDAY(B24)+1</f>
        <v/>
      </c>
      <c r="D24" s="305" t="n"/>
      <c r="E24" s="296" t="n"/>
      <c r="F24" s="391" t="n">
        <v>0</v>
      </c>
      <c r="G24" s="396" t="n">
        <v>0</v>
      </c>
      <c r="H24" s="396" t="n">
        <v>0</v>
      </c>
      <c r="I24" s="397" t="n">
        <v>0</v>
      </c>
      <c r="J24" s="377" t="n"/>
      <c r="K24" s="339" t="n"/>
      <c r="L24" s="329">
        <f>IF(A24="U",(G24-F24)+(I24-H24)+(K24-J24),"NÃO ÚTIL")</f>
        <v/>
      </c>
      <c r="M24" s="330">
        <f>IF(A24="U",L7,"NÃO ÚTIL")</f>
        <v/>
      </c>
      <c r="N24" s="331">
        <f>IF(A24="U",(L24-M24),"NÃO ÚTIL")</f>
        <v/>
      </c>
      <c r="O24" s="47" t="n"/>
      <c r="P24" s="332">
        <f>IF(N24="não útil",0,N24)</f>
        <v/>
      </c>
      <c r="Q24" s="337">
        <f>P24+Q23</f>
        <v/>
      </c>
      <c r="R24" s="332">
        <f>Q24+$Q$4</f>
        <v/>
      </c>
      <c r="S24" s="47">
        <f>IF(B24=T24,"HOJE",".")</f>
        <v/>
      </c>
      <c r="T24" s="62">
        <f>TODAY()</f>
        <v/>
      </c>
      <c r="U24" s="332">
        <f>IF(S24="HOJE",R24,0)</f>
        <v/>
      </c>
      <c r="V24" s="47" t="n"/>
    </row>
    <row r="25" ht="16.5" customHeight="1" thickBot="1">
      <c r="A25" s="17">
        <f>IF(OR(C25=2,C25=8),"F","U")</f>
        <v/>
      </c>
      <c r="B25" s="46">
        <f>B24+1</f>
        <v/>
      </c>
      <c r="C25" s="393">
        <f>WEEKDAY(B25)+1</f>
        <v/>
      </c>
      <c r="D25" s="305" t="n"/>
      <c r="E25" s="296" t="n"/>
      <c r="F25" s="391" t="n">
        <v>0</v>
      </c>
      <c r="G25" s="396" t="n">
        <v>0</v>
      </c>
      <c r="H25" s="396" t="n">
        <v>0</v>
      </c>
      <c r="I25" s="397" t="n">
        <v>0</v>
      </c>
      <c r="J25" s="376" t="n"/>
      <c r="K25" s="336" t="n"/>
      <c r="L25" s="329">
        <f>IF(A25="U",(G25-F25)+(I25-H25)+(K25-J25),"NÃO ÚTIL")</f>
        <v/>
      </c>
      <c r="M25" s="330">
        <f>IF(A25="U",L7,"NÃO ÚTIL")</f>
        <v/>
      </c>
      <c r="N25" s="331">
        <f>IF(A25="U",(L25-M25),"NÃO ÚTIL")</f>
        <v/>
      </c>
      <c r="O25" s="47" t="n"/>
      <c r="P25" s="332">
        <f>IF(N25="não útil",0,N25)</f>
        <v/>
      </c>
      <c r="Q25" s="337">
        <f>P25+Q24</f>
        <v/>
      </c>
      <c r="R25" s="332">
        <f>Q25+$Q$4</f>
        <v/>
      </c>
      <c r="S25" s="47">
        <f>IF(B25=T25,"HOJE",".")</f>
        <v/>
      </c>
      <c r="T25" s="62">
        <f>TODAY()</f>
        <v/>
      </c>
      <c r="U25" s="332">
        <f>IF(S25="HOJE",R25,0)</f>
        <v/>
      </c>
      <c r="V25" s="47" t="n"/>
    </row>
    <row r="26" ht="16.5" customHeight="1" thickBot="1">
      <c r="A26" s="17">
        <f>IF(OR(C26=2,C26=8),"F","U")</f>
        <v/>
      </c>
      <c r="B26" s="46">
        <f>B25+1</f>
        <v/>
      </c>
      <c r="C26" s="393">
        <f>WEEKDAY(B26)+1</f>
        <v/>
      </c>
      <c r="D26" s="305" t="n"/>
      <c r="E26" s="296" t="n"/>
      <c r="F26" s="391" t="n">
        <v>0</v>
      </c>
      <c r="G26" s="396" t="n">
        <v>0</v>
      </c>
      <c r="H26" s="396" t="n">
        <v>0</v>
      </c>
      <c r="I26" s="397" t="n">
        <v>0</v>
      </c>
      <c r="J26" s="378" t="n"/>
      <c r="K26" s="341" t="n"/>
      <c r="L26" s="329">
        <f>IF(A26="U",(G26-F26)+(I26-H26)+(K26-J26),"NÃO ÚTIL")</f>
        <v/>
      </c>
      <c r="M26" s="330">
        <f>IF(A26="U",L7,"NÃO ÚTIL")</f>
        <v/>
      </c>
      <c r="N26" s="331">
        <f>IF(A26="U",(L26-M26),"NÃO ÚTIL")</f>
        <v/>
      </c>
      <c r="O26" s="47" t="n"/>
      <c r="P26" s="332">
        <f>IF(N26="não útil",0,N26)</f>
        <v/>
      </c>
      <c r="Q26" s="337">
        <f>P26+Q25</f>
        <v/>
      </c>
      <c r="R26" s="332">
        <f>Q26+$Q$4</f>
        <v/>
      </c>
      <c r="S26" s="47">
        <f>IF(B26=T26,"HOJE",".")</f>
        <v/>
      </c>
      <c r="T26" s="62">
        <f>TODAY()</f>
        <v/>
      </c>
      <c r="U26" s="332">
        <f>IF(S26="HOJE",R26,0)</f>
        <v/>
      </c>
      <c r="V26" s="47" t="n"/>
    </row>
    <row r="27" ht="16.5" customHeight="1" thickBot="1">
      <c r="A27" s="17">
        <f>IF(OR(C27=2,C27=8),"F","U")</f>
        <v/>
      </c>
      <c r="B27" s="46">
        <f>B26+1</f>
        <v/>
      </c>
      <c r="C27" s="393">
        <f>WEEKDAY(B27)+1</f>
        <v/>
      </c>
      <c r="D27" s="305" t="n"/>
      <c r="E27" s="296" t="n"/>
      <c r="F27" s="391" t="n">
        <v>0</v>
      </c>
      <c r="G27" s="396" t="n">
        <v>0</v>
      </c>
      <c r="H27" s="396" t="n">
        <v>0</v>
      </c>
      <c r="I27" s="397" t="n">
        <v>0</v>
      </c>
      <c r="J27" s="377" t="n"/>
      <c r="K27" s="339" t="n"/>
      <c r="L27" s="329">
        <f>IF(A27="U",(G27-F27)+(I27-H27)+(K27-J27),"NÃO ÚTIL")</f>
        <v/>
      </c>
      <c r="M27" s="330">
        <f>IF(A27="U",L7,"NÃO ÚTIL")</f>
        <v/>
      </c>
      <c r="N27" s="331">
        <f>IF(A27="U",(L27-M27),"NÃO ÚTIL")</f>
        <v/>
      </c>
      <c r="O27" s="47" t="n"/>
      <c r="P27" s="332">
        <f>IF(N27="não útil",0,N27)</f>
        <v/>
      </c>
      <c r="Q27" s="337">
        <f>P27+Q26</f>
        <v/>
      </c>
      <c r="R27" s="332">
        <f>Q27+$Q$4</f>
        <v/>
      </c>
      <c r="S27" s="47">
        <f>IF(B27=T27,"HOJE",".")</f>
        <v/>
      </c>
      <c r="T27" s="62">
        <f>TODAY()</f>
        <v/>
      </c>
      <c r="U27" s="332">
        <f>IF(S27="HOJE",R27,0)</f>
        <v/>
      </c>
      <c r="V27" s="47" t="n"/>
    </row>
    <row r="28" ht="16.5" customHeight="1" thickBot="1">
      <c r="A28" s="17">
        <f>IF(OR(C28=2,C28=8),"F","U")</f>
        <v/>
      </c>
      <c r="B28" s="46">
        <f>B27+1</f>
        <v/>
      </c>
      <c r="C28" s="393">
        <f>WEEKDAY(B28)+1</f>
        <v/>
      </c>
      <c r="D28" s="305" t="n"/>
      <c r="E28" s="296" t="n"/>
      <c r="F28" s="391" t="n">
        <v>0</v>
      </c>
      <c r="G28" s="396" t="n">
        <v>0</v>
      </c>
      <c r="H28" s="396" t="n">
        <v>0</v>
      </c>
      <c r="I28" s="397" t="n">
        <v>0</v>
      </c>
      <c r="J28" s="376" t="n"/>
      <c r="K28" s="336" t="n"/>
      <c r="L28" s="329">
        <f>IF(A28="U",(G28-F28)+(I28-H28)+(K28-J28),"NÃO ÚTIL")</f>
        <v/>
      </c>
      <c r="M28" s="330">
        <f>IF(A28="U",L7,"NÃO ÚTIL")</f>
        <v/>
      </c>
      <c r="N28" s="331">
        <f>IF(A28="U",(L28-M28),"NÃO ÚTIL")</f>
        <v/>
      </c>
      <c r="O28" s="47" t="n"/>
      <c r="P28" s="332">
        <f>IF(N28="não útil",0,N28)</f>
        <v/>
      </c>
      <c r="Q28" s="337">
        <f>P28+Q27</f>
        <v/>
      </c>
      <c r="R28" s="332">
        <f>Q28+$Q$4</f>
        <v/>
      </c>
      <c r="S28" s="47">
        <f>IF(B28=T28,"HOJE",".")</f>
        <v/>
      </c>
      <c r="T28" s="62">
        <f>TODAY()</f>
        <v/>
      </c>
      <c r="U28" s="332">
        <f>IF(S28="HOJE",R28,0)</f>
        <v/>
      </c>
      <c r="V28" s="47" t="n"/>
    </row>
    <row r="29" ht="16.5" customHeight="1" thickBot="1">
      <c r="A29" s="17">
        <f>IF(OR(C29=2,C29=8),"F","U")</f>
        <v/>
      </c>
      <c r="B29" s="46">
        <f>B28+1</f>
        <v/>
      </c>
      <c r="C29" s="393">
        <f>WEEKDAY(B29)+1</f>
        <v/>
      </c>
      <c r="D29" s="305" t="n"/>
      <c r="E29" s="296" t="n"/>
      <c r="F29" s="391" t="n">
        <v>0</v>
      </c>
      <c r="G29" s="396" t="n">
        <v>0</v>
      </c>
      <c r="H29" s="396" t="n">
        <v>0</v>
      </c>
      <c r="I29" s="397" t="n">
        <v>0</v>
      </c>
      <c r="J29" s="378" t="n"/>
      <c r="K29" s="341" t="n"/>
      <c r="L29" s="329">
        <f>IF(A29="U",(G29-F29)+(I29-H29)+(K29-J29),"NÃO ÚTIL")</f>
        <v/>
      </c>
      <c r="M29" s="330">
        <f>IF(A29="U",L7,"NÃO ÚTIL")</f>
        <v/>
      </c>
      <c r="N29" s="331">
        <f>IF(A29="U",(L29-M29),"NÃO ÚTIL")</f>
        <v/>
      </c>
      <c r="O29" s="47" t="n"/>
      <c r="P29" s="332">
        <f>IF(N29="não útil",0,N29)</f>
        <v/>
      </c>
      <c r="Q29" s="337">
        <f>P29+Q28</f>
        <v/>
      </c>
      <c r="R29" s="332">
        <f>Q29+$Q$4</f>
        <v/>
      </c>
      <c r="S29" s="47">
        <f>IF(B29=T29,"HOJE",".")</f>
        <v/>
      </c>
      <c r="T29" s="62">
        <f>TODAY()</f>
        <v/>
      </c>
      <c r="U29" s="332">
        <f>IF(S29="HOJE",R29,0)</f>
        <v/>
      </c>
      <c r="V29" s="47" t="n"/>
    </row>
    <row r="30" ht="16.5" customHeight="1" thickBot="1">
      <c r="A30" s="17">
        <f>IF(OR(C30=2,C30=8),"F","U")</f>
        <v/>
      </c>
      <c r="B30" s="46">
        <f>B29+1</f>
        <v/>
      </c>
      <c r="C30" s="393">
        <f>WEEKDAY(B30)+1</f>
        <v/>
      </c>
      <c r="D30" s="305" t="n"/>
      <c r="E30" s="296" t="n"/>
      <c r="F30" s="391" t="n">
        <v>0</v>
      </c>
      <c r="G30" s="396" t="n">
        <v>0</v>
      </c>
      <c r="H30" s="396" t="n">
        <v>0</v>
      </c>
      <c r="I30" s="397" t="n">
        <v>0</v>
      </c>
      <c r="J30" s="377" t="n"/>
      <c r="K30" s="339" t="n"/>
      <c r="L30" s="329">
        <f>IF(A30="U",(G30-F30)+(I30-H30)+(K30-J30),"NÃO ÚTIL")</f>
        <v/>
      </c>
      <c r="M30" s="330">
        <f>IF(A30="U",L7,"NÃO ÚTIL")</f>
        <v/>
      </c>
      <c r="N30" s="331">
        <f>IF(A30="U",(L30-M30),"NÃO ÚTIL")</f>
        <v/>
      </c>
      <c r="O30" s="47" t="n"/>
      <c r="P30" s="332">
        <f>IF(N30="não útil",0,N30)</f>
        <v/>
      </c>
      <c r="Q30" s="337">
        <f>P30+Q29</f>
        <v/>
      </c>
      <c r="R30" s="332">
        <f>Q30+$Q$4</f>
        <v/>
      </c>
      <c r="S30" s="47">
        <f>IF(B30=T30,"HOJE",".")</f>
        <v/>
      </c>
      <c r="T30" s="62">
        <f>TODAY()</f>
        <v/>
      </c>
      <c r="U30" s="332">
        <f>IF(S30="HOJE",R30,0)</f>
        <v/>
      </c>
      <c r="V30" s="47" t="n"/>
    </row>
    <row r="31" ht="16.5" customHeight="1" thickBot="1">
      <c r="A31" s="17">
        <f>IF(OR(C31=2,C31=8),"F","U")</f>
        <v/>
      </c>
      <c r="B31" s="46">
        <f>B30+1</f>
        <v/>
      </c>
      <c r="C31" s="393">
        <f>WEEKDAY(B31)+1</f>
        <v/>
      </c>
      <c r="D31" s="305" t="n"/>
      <c r="E31" s="296" t="n"/>
      <c r="F31" s="391" t="n">
        <v>0</v>
      </c>
      <c r="G31" s="396" t="n">
        <v>0</v>
      </c>
      <c r="H31" s="396" t="n">
        <v>0</v>
      </c>
      <c r="I31" s="397" t="n">
        <v>0</v>
      </c>
      <c r="J31" s="378" t="n"/>
      <c r="K31" s="341" t="n"/>
      <c r="L31" s="329">
        <f>IF(A31="U",(G31-F31)+(I31-H31)+(K31-J31),"NÃO ÚTIL")</f>
        <v/>
      </c>
      <c r="M31" s="330">
        <f>IF(A31="U",L7,"NÃO ÚTIL")</f>
        <v/>
      </c>
      <c r="N31" s="331">
        <f>IF(A31="U",(L31-M31),"NÃO ÚTIL")</f>
        <v/>
      </c>
      <c r="O31" s="47" t="n"/>
      <c r="P31" s="332">
        <f>IF(N31="não útil",0,N31)</f>
        <v/>
      </c>
      <c r="Q31" s="337">
        <f>P31+Q30</f>
        <v/>
      </c>
      <c r="R31" s="332">
        <f>Q31+$Q$4</f>
        <v/>
      </c>
      <c r="S31" s="47">
        <f>IF(B31=T31,"HOJE",".")</f>
        <v/>
      </c>
      <c r="T31" s="62">
        <f>TODAY()</f>
        <v/>
      </c>
      <c r="U31" s="332">
        <f>IF(S31="HOJE",R31,0)</f>
        <v/>
      </c>
      <c r="V31" s="47" t="n"/>
    </row>
    <row r="32" ht="16.5" customHeight="1" thickBot="1">
      <c r="A32" s="17">
        <f>IF(OR(C32=2,C32=8),"F","U")</f>
        <v/>
      </c>
      <c r="B32" s="46">
        <f>B31+1</f>
        <v/>
      </c>
      <c r="C32" s="393">
        <f>WEEKDAY(B32)+1</f>
        <v/>
      </c>
      <c r="D32" s="305" t="n"/>
      <c r="E32" s="296" t="n"/>
      <c r="F32" s="391" t="n">
        <v>0</v>
      </c>
      <c r="G32" s="396" t="n">
        <v>0</v>
      </c>
      <c r="H32" s="396" t="n">
        <v>0</v>
      </c>
      <c r="I32" s="397" t="n">
        <v>0</v>
      </c>
      <c r="J32" s="338" t="n"/>
      <c r="K32" s="339" t="n"/>
      <c r="L32" s="329">
        <f>IF(A32="U",(G32-F32)+(I32-H32)+(K32-J32),"NÃO ÚTIL")</f>
        <v/>
      </c>
      <c r="M32" s="330">
        <f>IF(A32="U",L7,"NÃO ÚTIL")</f>
        <v/>
      </c>
      <c r="N32" s="331">
        <f>IF(A32="U",(L32-M32),"NÃO ÚTIL")</f>
        <v/>
      </c>
      <c r="O32" s="47" t="n"/>
      <c r="P32" s="332">
        <f>IF(N32="não útil",0,N32)</f>
        <v/>
      </c>
      <c r="Q32" s="337">
        <f>P32+Q31</f>
        <v/>
      </c>
      <c r="R32" s="332">
        <f>Q32+$Q$4</f>
        <v/>
      </c>
      <c r="S32" s="47">
        <f>IF(B32=T32,"HOJE",".")</f>
        <v/>
      </c>
      <c r="T32" s="62">
        <f>TODAY()</f>
        <v/>
      </c>
      <c r="U32" s="332">
        <f>IF(S32="HOJE",R32,0)</f>
        <v/>
      </c>
      <c r="V32" s="47" t="n"/>
    </row>
    <row r="33" ht="16.5" customHeight="1" thickBot="1">
      <c r="A33" s="17" t="inlineStr">
        <is>
          <t>F</t>
        </is>
      </c>
      <c r="B33" s="46">
        <f>B32+1</f>
        <v/>
      </c>
      <c r="C33" s="393">
        <f>WEEKDAY(B33)+1</f>
        <v/>
      </c>
      <c r="D33" s="305" t="n"/>
      <c r="E33" s="296" t="n"/>
      <c r="F33" s="391" t="n">
        <v>0</v>
      </c>
      <c r="G33" s="396" t="n">
        <v>0</v>
      </c>
      <c r="H33" s="396" t="n">
        <v>0</v>
      </c>
      <c r="I33" s="397" t="n">
        <v>0</v>
      </c>
      <c r="J33" s="340" t="n"/>
      <c r="K33" s="341" t="n"/>
      <c r="L33" s="329">
        <f>IF(A33="U",(G33-F33)+(I33-H33)+(K33-J33),"NÃO ÚTIL")</f>
        <v/>
      </c>
      <c r="M33" s="330">
        <f>IF(A33="U",L7,"NÃO ÚTIL")</f>
        <v/>
      </c>
      <c r="N33" s="331">
        <f>IF(A33="U",(L33-M33),"NÃO ÚTIL")</f>
        <v/>
      </c>
      <c r="O33" s="47" t="n"/>
      <c r="P33" s="332">
        <f>IF(N33="não útil",0,N33)</f>
        <v/>
      </c>
      <c r="Q33" s="337">
        <f>P33+Q32</f>
        <v/>
      </c>
      <c r="R33" s="332">
        <f>Q33+$Q$4</f>
        <v/>
      </c>
      <c r="S33" s="47">
        <f>IF(B33=T33,"HOJE",".")</f>
        <v/>
      </c>
      <c r="T33" s="62">
        <f>TODAY()</f>
        <v/>
      </c>
      <c r="U33" s="332">
        <f>IF(S33="HOJE",R33,0)</f>
        <v/>
      </c>
      <c r="V33" s="47" t="n"/>
    </row>
    <row r="34" ht="16.5" customHeight="1" thickBot="1">
      <c r="A34" s="17">
        <f>IF(OR(C34=2,C34=8),"F","U")</f>
        <v/>
      </c>
      <c r="B34" s="46">
        <f>B33+1</f>
        <v/>
      </c>
      <c r="C34" s="393">
        <f>WEEKDAY(B34)+1</f>
        <v/>
      </c>
      <c r="D34" s="305" t="n"/>
      <c r="E34" s="296" t="n"/>
      <c r="F34" s="391" t="n">
        <v>0</v>
      </c>
      <c r="G34" s="396" t="n">
        <v>0</v>
      </c>
      <c r="H34" s="396" t="n">
        <v>0</v>
      </c>
      <c r="I34" s="397" t="n">
        <v>0</v>
      </c>
      <c r="J34" s="338" t="n"/>
      <c r="K34" s="345" t="n"/>
      <c r="L34" s="329">
        <f>IF(A34="U",(G34-F34)+(I34-H34)+(K34-J34),"NÃO ÚTIL")</f>
        <v/>
      </c>
      <c r="M34" s="330">
        <f>IF(A34="U",L7,"NÃO ÚTIL")</f>
        <v/>
      </c>
      <c r="N34" s="331">
        <f>IF(A34="U",(L34-M34),"NÃO ÚTIL")</f>
        <v/>
      </c>
      <c r="O34" s="47" t="n"/>
      <c r="P34" s="332">
        <f>IF(N34="não útil",0,N34)</f>
        <v/>
      </c>
      <c r="Q34" s="337">
        <f>P34+Q33</f>
        <v/>
      </c>
      <c r="R34" s="332">
        <f>Q34+$Q$4</f>
        <v/>
      </c>
      <c r="S34" s="47">
        <f>IF(B34=T34,"HOJE",".")</f>
        <v/>
      </c>
      <c r="T34" s="62">
        <f>TODAY()</f>
        <v/>
      </c>
      <c r="U34" s="332">
        <f>IF(S34="HOJE",R34,0)</f>
        <v/>
      </c>
      <c r="V34" s="47" t="n"/>
    </row>
    <row r="35" ht="16.5" customHeight="1" thickBot="1">
      <c r="A35" s="17" t="inlineStr">
        <is>
          <t>F</t>
        </is>
      </c>
      <c r="B35" s="46">
        <f>B34+1</f>
        <v/>
      </c>
      <c r="C35" s="393">
        <f>WEEKDAY(B35)+1</f>
        <v/>
      </c>
      <c r="D35" s="305" t="n"/>
      <c r="E35" s="296" t="n"/>
      <c r="F35" s="391" t="n">
        <v>0</v>
      </c>
      <c r="G35" s="396" t="n">
        <v>0</v>
      </c>
      <c r="H35" s="396" t="n">
        <v>0</v>
      </c>
      <c r="I35" s="397" t="n">
        <v>0</v>
      </c>
      <c r="J35" s="338" t="n"/>
      <c r="K35" s="339" t="n"/>
      <c r="L35" s="329">
        <f>IF(A35="U",(G35-F35)+(I35-H35)+(K35-J35),"NÃO ÚTIL")</f>
        <v/>
      </c>
      <c r="M35" s="330">
        <f>IF(A35="U",L7,"NÃO ÚTIL")</f>
        <v/>
      </c>
      <c r="N35" s="331">
        <f>IF(A35="U",(L35-M35),"NÃO ÚTIL")</f>
        <v/>
      </c>
      <c r="O35" s="47" t="n"/>
      <c r="P35" s="332">
        <f>IF(N35="não útil",0,N35)</f>
        <v/>
      </c>
      <c r="Q35" s="337">
        <f>P35+Q34</f>
        <v/>
      </c>
      <c r="R35" s="332">
        <f>Q35+$Q$4</f>
        <v/>
      </c>
      <c r="S35" s="47">
        <f>IF(B35=T35,"HOJE",".")</f>
        <v/>
      </c>
      <c r="T35" s="62">
        <f>TODAY()</f>
        <v/>
      </c>
      <c r="U35" s="332">
        <f>IF(S35="HOJE",R35,0)</f>
        <v/>
      </c>
      <c r="V35" s="47" t="n"/>
    </row>
    <row r="36" ht="16.5" customHeight="1" thickBot="1">
      <c r="A36" s="17">
        <f>IF(OR(C36=2,C36=8),"F","U")</f>
        <v/>
      </c>
      <c r="B36" s="46">
        <f>B35+1</f>
        <v/>
      </c>
      <c r="C36" s="393">
        <f>WEEKDAY(B36)+1</f>
        <v/>
      </c>
      <c r="D36" s="305" t="n"/>
      <c r="E36" s="296" t="n"/>
      <c r="F36" s="391" t="n">
        <v>0</v>
      </c>
      <c r="G36" s="396" t="n">
        <v>0</v>
      </c>
      <c r="H36" s="396" t="n">
        <v>0</v>
      </c>
      <c r="I36" s="397" t="n">
        <v>0</v>
      </c>
      <c r="J36" s="335" t="n"/>
      <c r="K36" s="336" t="n"/>
      <c r="L36" s="329">
        <f>IF(A36="U",(G36-F36)+(I36-H36)+(K36-J36),"NÃO ÚTIL")</f>
        <v/>
      </c>
      <c r="M36" s="330">
        <f>IF(A36="U",L7,"NÃO ÚTIL")</f>
        <v/>
      </c>
      <c r="N36" s="331">
        <f>IF(A36="U",(L36-M36),"NÃO ÚTIL")</f>
        <v/>
      </c>
      <c r="O36" s="47" t="n"/>
      <c r="P36" s="332">
        <f>IF(N36="não útil",0,N36)</f>
        <v/>
      </c>
      <c r="Q36" s="337">
        <f>P36+Q35</f>
        <v/>
      </c>
      <c r="R36" s="332">
        <f>Q36+$Q$4</f>
        <v/>
      </c>
      <c r="S36" s="47">
        <f>IF(B36=T36,"HOJE",".")</f>
        <v/>
      </c>
      <c r="T36" s="62">
        <f>TODAY()</f>
        <v/>
      </c>
      <c r="U36" s="332">
        <f>IF(S36="HOJE",R36,0)</f>
        <v/>
      </c>
      <c r="V36" s="47" t="n"/>
    </row>
    <row r="37" ht="16.5" customHeight="1" thickBot="1">
      <c r="A37" s="17">
        <f>IF(OR(C37=2,C37=8),"F","U")</f>
        <v/>
      </c>
      <c r="B37" s="46">
        <f>B36+1</f>
        <v/>
      </c>
      <c r="C37" s="393">
        <f>WEEKDAY(B37)+1</f>
        <v/>
      </c>
      <c r="D37" s="305" t="n"/>
      <c r="E37" s="296" t="n"/>
      <c r="F37" s="391" t="n">
        <v>0</v>
      </c>
      <c r="G37" s="396" t="n">
        <v>0</v>
      </c>
      <c r="H37" s="396" t="n">
        <v>0</v>
      </c>
      <c r="I37" s="397" t="n">
        <v>0</v>
      </c>
      <c r="J37" s="403" t="n"/>
      <c r="K37" s="345" t="n"/>
      <c r="L37" s="329">
        <f>IF(A37="U",(G37-F37)+(I37-H37)+(K37-J37),"NÃO ÚTIL")</f>
        <v/>
      </c>
      <c r="M37" s="330">
        <f>IF(A37="U",L7,"NÃO ÚTIL")</f>
        <v/>
      </c>
      <c r="N37" s="331">
        <f>IF(A37="U",(L37-M37),"NÃO ÚTIL")</f>
        <v/>
      </c>
      <c r="O37" s="47" t="n"/>
      <c r="P37" s="332">
        <f>IF(N37="não útil",0,N37)</f>
        <v/>
      </c>
      <c r="Q37" s="337">
        <f>P37+Q36</f>
        <v/>
      </c>
      <c r="R37" s="332">
        <f>Q37+$Q$4</f>
        <v/>
      </c>
      <c r="S37" s="47">
        <f>IF(B37=T37,"HOJE",".")</f>
        <v/>
      </c>
      <c r="T37" s="62">
        <f>TODAY()</f>
        <v/>
      </c>
      <c r="U37" s="332">
        <f>IF(S37="HOJE",R37,0)</f>
        <v/>
      </c>
      <c r="V37" s="47" t="n"/>
    </row>
    <row r="38" ht="16.5" customHeight="1" thickBot="1">
      <c r="A38" s="17">
        <f>IF(OR(C38=2,C38=8),"F","U")</f>
        <v/>
      </c>
      <c r="B38" s="46">
        <f>B37+1</f>
        <v/>
      </c>
      <c r="C38" s="393">
        <f>WEEKDAY(B38)+1</f>
        <v/>
      </c>
      <c r="D38" s="305" t="n"/>
      <c r="E38" s="296" t="n"/>
      <c r="F38" s="391" t="n">
        <v>0</v>
      </c>
      <c r="G38" s="396" t="n">
        <v>0</v>
      </c>
      <c r="H38" s="396" t="n">
        <v>0</v>
      </c>
      <c r="I38" s="397" t="n">
        <v>0</v>
      </c>
      <c r="J38" s="340" t="n"/>
      <c r="K38" s="345" t="n"/>
      <c r="L38" s="329">
        <f>IF(A38="U",(G38-F38)+(I38-H38)+(K38-J38),"NÃO ÚTIL")</f>
        <v/>
      </c>
      <c r="M38" s="330">
        <f>IF(A38="U",L7,"NÃO ÚTIL")</f>
        <v/>
      </c>
      <c r="N38" s="331">
        <f>IF(A38="U",(L38-M38),"NÃO ÚTIL")</f>
        <v/>
      </c>
      <c r="O38" s="47" t="n"/>
      <c r="P38" s="332">
        <f>IF(N38="não útil",0,N38)</f>
        <v/>
      </c>
      <c r="Q38" s="337">
        <f>P38+Q37</f>
        <v/>
      </c>
      <c r="R38" s="332">
        <f>Q38+$Q$4</f>
        <v/>
      </c>
      <c r="S38" s="47">
        <f>IF(B38=T38,"HOJE",".")</f>
        <v/>
      </c>
      <c r="T38" s="62">
        <f>TODAY()</f>
        <v/>
      </c>
      <c r="U38" s="332">
        <f>IF(S38="HOJE",R38,0)</f>
        <v/>
      </c>
      <c r="V38" s="47" t="n"/>
    </row>
    <row r="39" ht="16.5" customHeight="1" thickBot="1">
      <c r="A39" s="17">
        <f>IF(OR(C39=2,C39=8),"F","U")</f>
        <v/>
      </c>
      <c r="B39" s="46">
        <f>B38+1</f>
        <v/>
      </c>
      <c r="C39" s="393">
        <f>WEEKDAY(B39)+1</f>
        <v/>
      </c>
      <c r="D39" s="305" t="n"/>
      <c r="E39" s="296" t="n"/>
      <c r="F39" s="391" t="n">
        <v>0</v>
      </c>
      <c r="G39" s="396" t="n">
        <v>0</v>
      </c>
      <c r="H39" s="396" t="n">
        <v>0</v>
      </c>
      <c r="I39" s="397" t="n">
        <v>0</v>
      </c>
      <c r="J39" s="377" t="n"/>
      <c r="K39" s="339" t="n"/>
      <c r="L39" s="329">
        <f>IF(A39="U",(G39-F39)+(I39-H39)+(K39-J39),"NÃO ÚTIL")</f>
        <v/>
      </c>
      <c r="M39" s="330">
        <f>IF(A39="U",L7,"NÃO ÚTIL")</f>
        <v/>
      </c>
      <c r="N39" s="331">
        <f>IF(A39="U",(L39-M39),"NÃO ÚTIL")</f>
        <v/>
      </c>
      <c r="O39" s="47" t="n"/>
      <c r="P39" s="332">
        <f>IF(N39="não útil",0,N39)</f>
        <v/>
      </c>
      <c r="Q39" s="337">
        <f>P39+Q38</f>
        <v/>
      </c>
      <c r="R39" s="332">
        <f>Q39+$Q$4</f>
        <v/>
      </c>
      <c r="S39" s="47">
        <f>IF(B39=T39,"HOJE",".")</f>
        <v/>
      </c>
      <c r="T39" s="62">
        <f>TODAY()</f>
        <v/>
      </c>
      <c r="U39" s="332">
        <f>IF(S39="HOJE",R39,0)</f>
        <v/>
      </c>
      <c r="V39" s="47" t="n"/>
    </row>
    <row r="40" ht="16.5" customHeight="1" thickBot="1">
      <c r="A40" s="17">
        <f>IF(OR(C40=2,C40=8),"F","U")</f>
        <v/>
      </c>
      <c r="B40" s="46">
        <f>B39+1</f>
        <v/>
      </c>
      <c r="C40" s="393">
        <f>WEEKDAY(B40)+1</f>
        <v/>
      </c>
      <c r="D40" s="305" t="n"/>
      <c r="E40" s="296" t="n"/>
      <c r="F40" s="391" t="n">
        <v>0</v>
      </c>
      <c r="G40" s="396" t="n">
        <v>0</v>
      </c>
      <c r="H40" s="396" t="n">
        <v>0</v>
      </c>
      <c r="I40" s="397" t="n">
        <v>0</v>
      </c>
      <c r="J40" s="404" t="n"/>
      <c r="K40" s="341" t="n"/>
      <c r="L40" s="329">
        <f>IF(A40="U",(G40-F40)+(I40-H40),"NÃO ÚTIL")</f>
        <v/>
      </c>
      <c r="M40" s="330">
        <f>IF(A40="U",L7,"NÃO ÚTIL")</f>
        <v/>
      </c>
      <c r="N40" s="331">
        <f>IF(A40="U",(L40-M40),"NÃO ÚTIL")</f>
        <v/>
      </c>
      <c r="O40" s="47" t="n"/>
      <c r="P40" s="332">
        <f>IF(N40="não útil",0,N40)</f>
        <v/>
      </c>
      <c r="Q40" s="337">
        <f>P40+Q39</f>
        <v/>
      </c>
      <c r="R40" s="332">
        <f>Q40+$Q$4</f>
        <v/>
      </c>
      <c r="S40" s="47">
        <f>IF(B40=T40,"HOJE",".")</f>
        <v/>
      </c>
      <c r="T40" s="62">
        <f>TODAY()</f>
        <v/>
      </c>
      <c r="U40" s="332">
        <f>IF(S40="HOJE",R40,0)</f>
        <v/>
      </c>
      <c r="V40" s="47" t="n"/>
    </row>
    <row r="41" ht="16.5" customHeight="1" thickBot="1">
      <c r="A41" s="17">
        <f>IF(OR(C41=2,C41=8),"F","U")</f>
        <v/>
      </c>
      <c r="B41" s="46">
        <f>B40+1</f>
        <v/>
      </c>
      <c r="C41" s="393">
        <f>WEEKDAY(B41)+1</f>
        <v/>
      </c>
      <c r="D41" s="305" t="n"/>
      <c r="E41" s="296" t="n"/>
      <c r="F41" s="391" t="n">
        <v>0</v>
      </c>
      <c r="G41" s="396" t="n">
        <v>0</v>
      </c>
      <c r="H41" s="396" t="n">
        <v>0</v>
      </c>
      <c r="I41" s="397" t="n">
        <v>0</v>
      </c>
      <c r="J41" s="377" t="n"/>
      <c r="K41" s="339" t="n"/>
      <c r="L41" s="329">
        <f>IF(A41="U",(G41-F41)+(I41-H41)+(K41-J41),"NÃO ÚTIL")</f>
        <v/>
      </c>
      <c r="M41" s="330">
        <f>IF(A41="U",L7,"NÃO ÚTIL")</f>
        <v/>
      </c>
      <c r="N41" s="331">
        <f>IF(A41="U",(L41-M41),"NÃO ÚTIL")</f>
        <v/>
      </c>
      <c r="O41" s="47" t="n"/>
      <c r="P41" s="332">
        <f>IF(N41="não útil",0,N41)</f>
        <v/>
      </c>
      <c r="Q41" s="337">
        <f>P41+Q40</f>
        <v/>
      </c>
      <c r="R41" s="332">
        <f>Q41+$Q$4</f>
        <v/>
      </c>
      <c r="S41" s="47">
        <f>IF(B41=T41,"HOJE",".")</f>
        <v/>
      </c>
      <c r="T41" s="62">
        <f>TODAY()</f>
        <v/>
      </c>
      <c r="U41" s="332">
        <f>IF(S41="HOJE",R41,0)</f>
        <v/>
      </c>
      <c r="V41" s="47" t="n"/>
    </row>
    <row r="42" ht="16.5" customHeight="1" thickBot="1">
      <c r="A42" s="17">
        <f>IF(OR(C42=2,C42=8),"F","U")</f>
        <v/>
      </c>
      <c r="B42" s="46">
        <f>B41+1</f>
        <v/>
      </c>
      <c r="C42" s="393">
        <f>WEEKDAY(B42)+1</f>
        <v/>
      </c>
      <c r="D42" s="305" t="n"/>
      <c r="E42" s="296" t="n"/>
      <c r="F42" s="391" t="n">
        <v>0</v>
      </c>
      <c r="G42" s="396" t="n">
        <v>0</v>
      </c>
      <c r="H42" s="396" t="n">
        <v>0</v>
      </c>
      <c r="I42" s="397" t="n">
        <v>0</v>
      </c>
      <c r="J42" s="377" t="n"/>
      <c r="K42" s="341" t="n"/>
      <c r="L42" s="329">
        <f>IF(A42="U",(G42-F42)+(I42-H42)+(K42-J42),"NÃO ÚTIL")</f>
        <v/>
      </c>
      <c r="M42" s="330">
        <f>IF(A42="U",L7,"NÃO ÚTIL")</f>
        <v/>
      </c>
      <c r="N42" s="331">
        <f>IF(A42="U",(L42-M42),"NÃO ÚTIL")</f>
        <v/>
      </c>
      <c r="O42" s="47" t="n"/>
      <c r="P42" s="332">
        <f>IF(N42="não útil",0,N42)</f>
        <v/>
      </c>
      <c r="Q42" s="337">
        <f>P42+Q41</f>
        <v/>
      </c>
      <c r="R42" s="332">
        <f>Q42+$Q$4</f>
        <v/>
      </c>
      <c r="S42" s="47">
        <f>IF(B42=T42,"HOJE",".")</f>
        <v/>
      </c>
      <c r="T42" s="62">
        <f>TODAY()</f>
        <v/>
      </c>
      <c r="U42" s="332">
        <f>IF(S42="HOJE",R42,0)</f>
        <v/>
      </c>
      <c r="V42" s="47" t="n"/>
    </row>
    <row r="43" ht="16.5" customHeight="1" thickBot="1">
      <c r="A43" s="17">
        <f>IF(OR(C43=2,C43=8),"F","U")</f>
        <v/>
      </c>
      <c r="B43" s="46">
        <f>B42+1</f>
        <v/>
      </c>
      <c r="C43" s="393">
        <f>WEEKDAY(B43)+1</f>
        <v/>
      </c>
      <c r="D43" s="305" t="n"/>
      <c r="E43" s="296" t="n"/>
      <c r="F43" s="391" t="n">
        <v>0</v>
      </c>
      <c r="G43" s="396" t="n">
        <v>0</v>
      </c>
      <c r="H43" s="396" t="n">
        <v>0</v>
      </c>
      <c r="I43" s="397" t="n">
        <v>0</v>
      </c>
      <c r="J43" s="377" t="n"/>
      <c r="K43" s="339" t="n"/>
      <c r="L43" s="329">
        <f>IF(A43="U",(G43-F43)+(I43-H43)+(K43-J43),"NÃO ÚTIL")</f>
        <v/>
      </c>
      <c r="M43" s="330">
        <f>IF(A43="U",L7,"NÃO ÚTIL")</f>
        <v/>
      </c>
      <c r="N43" s="331">
        <f>IF(A43="U",(L43-M43),"NÃO ÚTIL")</f>
        <v/>
      </c>
      <c r="O43" s="47" t="n"/>
      <c r="P43" s="332">
        <f>IF(N43="não útil",0,N43)</f>
        <v/>
      </c>
      <c r="Q43" s="337">
        <f>P43+Q42</f>
        <v/>
      </c>
      <c r="R43" s="332">
        <f>Q43+$Q$4</f>
        <v/>
      </c>
      <c r="S43" s="47">
        <f>IF(B43=T43,"HOJE",".")</f>
        <v/>
      </c>
      <c r="T43" s="62">
        <f>TODAY()</f>
        <v/>
      </c>
      <c r="U43" s="332">
        <f>IF(S43="HOJE",R43,0)</f>
        <v/>
      </c>
      <c r="V43" s="47" t="n"/>
    </row>
    <row r="44" ht="23.25" customHeight="1" thickBot="1">
      <c r="A44" s="346" t="inlineStr">
        <is>
          <t>TOTAL MÊS:</t>
        </is>
      </c>
      <c r="B44" s="347" t="n"/>
      <c r="C44" s="347" t="n"/>
      <c r="D44" s="347" t="n"/>
      <c r="E44" s="347" t="n"/>
      <c r="F44" s="347" t="n"/>
      <c r="G44" s="347" t="n"/>
      <c r="H44" s="347" t="n"/>
      <c r="I44" s="347" t="n"/>
      <c r="J44" s="347" t="n"/>
      <c r="K44" s="348" t="n"/>
      <c r="L44" s="349">
        <f>SUM(L14:L43)</f>
        <v/>
      </c>
      <c r="M44" s="349">
        <f>SUM(M14:M43)</f>
        <v/>
      </c>
      <c r="N44" s="350">
        <f>SUM(N14:N43)</f>
        <v/>
      </c>
      <c r="O44" s="47" t="n"/>
      <c r="P44" s="332" t="n"/>
      <c r="Q44" s="337" t="n"/>
      <c r="R44" s="332" t="n"/>
      <c r="S44" s="47" t="n"/>
      <c r="T44" s="62" t="n"/>
      <c r="U44" s="332" t="n"/>
      <c r="V44" s="47" t="n"/>
    </row>
    <row r="45" ht="12" customHeight="1" thickBot="1">
      <c r="A45" s="247" t="inlineStr">
        <is>
          <t>OBS:</t>
        </is>
      </c>
      <c r="B45" s="292" t="n"/>
      <c r="C45" s="160" t="n"/>
      <c r="D45" s="292" t="n"/>
      <c r="E45" s="292" t="n"/>
      <c r="F45" s="292" t="n"/>
      <c r="G45" s="292" t="n"/>
      <c r="H45" s="292" t="n"/>
      <c r="I45" s="293" t="n"/>
      <c r="J45" s="161" t="n"/>
      <c r="K45" s="347" t="n"/>
      <c r="L45" s="347" t="n"/>
      <c r="M45" s="347" t="n"/>
      <c r="N45" s="352" t="inlineStr">
        <is>
          <t>HORA (S)</t>
        </is>
      </c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 ht="12" customHeight="1" thickBot="1">
      <c r="A46" s="106" t="n"/>
      <c r="B46" s="297" t="n"/>
      <c r="C46" s="297" t="n"/>
      <c r="D46" s="297" t="n"/>
      <c r="E46" s="297" t="n"/>
      <c r="F46" s="297" t="n"/>
      <c r="G46" s="297" t="n"/>
      <c r="H46" s="297" t="n"/>
      <c r="I46" s="298" t="n"/>
      <c r="J46" s="353" t="inlineStr">
        <is>
          <t>CARGA HORÁRIA TRABAHADA (MÊS)</t>
        </is>
      </c>
      <c r="K46" s="354" t="n"/>
      <c r="L46" s="355" t="n"/>
      <c r="M46" s="356">
        <f>L44</f>
        <v/>
      </c>
      <c r="N46" s="355" t="n"/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 ht="12" customHeight="1" thickBot="1">
      <c r="A47" s="106" t="n"/>
      <c r="B47" s="297" t="n"/>
      <c r="C47" s="297" t="n"/>
      <c r="D47" s="297" t="n"/>
      <c r="E47" s="297" t="n"/>
      <c r="F47" s="297" t="n"/>
      <c r="G47" s="297" t="n"/>
      <c r="H47" s="297" t="n"/>
      <c r="I47" s="298" t="n"/>
      <c r="J47" s="322" t="n"/>
      <c r="K47" s="322" t="n"/>
      <c r="L47" s="318" t="n"/>
      <c r="M47" s="321" t="n"/>
      <c r="N47" s="318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 ht="12" customHeight="1" thickBot="1">
      <c r="A48" s="106" t="n"/>
      <c r="B48" s="297" t="n"/>
      <c r="C48" s="297" t="n"/>
      <c r="D48" s="297" t="n"/>
      <c r="E48" s="297" t="n"/>
      <c r="F48" s="297" t="n"/>
      <c r="G48" s="297" t="n"/>
      <c r="H48" s="297" t="n"/>
      <c r="I48" s="298" t="n"/>
      <c r="J48" s="353" t="inlineStr">
        <is>
          <t>CARGA HORÁRIA PREVISTA (MÊS)</t>
        </is>
      </c>
      <c r="K48" s="354" t="n"/>
      <c r="L48" s="355" t="n"/>
      <c r="M48" s="356">
        <f>M44</f>
        <v/>
      </c>
      <c r="N48" s="355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12" customHeight="1" thickBot="1">
      <c r="A49" s="106" t="n"/>
      <c r="B49" s="297" t="n"/>
      <c r="C49" s="297" t="n"/>
      <c r="D49" s="297" t="n"/>
      <c r="E49" s="297" t="n"/>
      <c r="F49" s="297" t="n"/>
      <c r="G49" s="297" t="n"/>
      <c r="H49" s="297" t="n"/>
      <c r="I49" s="298" t="n"/>
      <c r="J49" s="322" t="n"/>
      <c r="K49" s="322" t="n"/>
      <c r="L49" s="318" t="n"/>
      <c r="M49" s="321" t="n"/>
      <c r="N49" s="318" t="n"/>
      <c r="O49" s="47" t="n"/>
      <c r="P49" s="47" t="n"/>
      <c r="Q49" s="47" t="n"/>
      <c r="R49" s="47" t="n"/>
      <c r="S49" s="47" t="n"/>
      <c r="T49" s="47" t="n"/>
      <c r="U49" s="47" t="n"/>
      <c r="V49" s="47" t="n"/>
    </row>
    <row r="50" ht="12" customHeight="1" thickBot="1">
      <c r="A50" s="106" t="n"/>
      <c r="B50" s="297" t="n"/>
      <c r="C50" s="297" t="n"/>
      <c r="D50" s="297" t="n"/>
      <c r="E50" s="297" t="n"/>
      <c r="F50" s="297" t="n"/>
      <c r="G50" s="297" t="n"/>
      <c r="H50" s="297" t="n"/>
      <c r="I50" s="298" t="n"/>
      <c r="J50" s="357" t="inlineStr">
        <is>
          <t>SALDO CARGA HORÁRIA (MÊS)</t>
        </is>
      </c>
      <c r="K50" s="354" t="n"/>
      <c r="L50" s="355" t="n"/>
      <c r="M50" s="356">
        <f>N44</f>
        <v/>
      </c>
      <c r="N50" s="355" t="n"/>
      <c r="O50" s="47" t="n"/>
      <c r="P50" s="47" t="n"/>
      <c r="Q50" s="47" t="n"/>
      <c r="R50" s="47" t="n"/>
      <c r="S50" s="47" t="n"/>
      <c r="T50" s="47" t="n"/>
      <c r="U50" s="47" t="n"/>
      <c r="V50" s="47" t="n"/>
    </row>
    <row r="51" ht="12" customHeight="1" thickBot="1">
      <c r="A51" s="106" t="n"/>
      <c r="B51" s="297" t="n"/>
      <c r="C51" s="297" t="n"/>
      <c r="D51" s="297" t="n"/>
      <c r="E51" s="297" t="n"/>
      <c r="F51" s="297" t="n"/>
      <c r="G51" s="297" t="n"/>
      <c r="H51" s="297" t="n"/>
      <c r="I51" s="298" t="n"/>
      <c r="J51" s="322" t="n"/>
      <c r="K51" s="322" t="n"/>
      <c r="L51" s="318" t="n"/>
      <c r="M51" s="321" t="n"/>
      <c r="N51" s="318" t="n"/>
      <c r="O51" s="47" t="n"/>
      <c r="P51" s="47" t="n"/>
      <c r="Q51" s="47" t="n"/>
      <c r="R51" s="47" t="n"/>
      <c r="S51" s="47" t="n"/>
      <c r="T51" s="47" t="n"/>
      <c r="U51" s="47" t="n"/>
      <c r="V51" s="47" t="n"/>
    </row>
    <row r="52" ht="12" customHeight="1">
      <c r="A52" s="106" t="n"/>
      <c r="B52" s="297" t="n"/>
      <c r="C52" s="297" t="n"/>
      <c r="D52" s="297" t="n"/>
      <c r="E52" s="297" t="n"/>
      <c r="F52" s="297" t="n"/>
      <c r="G52" s="297" t="n"/>
      <c r="H52" s="297" t="n"/>
      <c r="I52" s="298" t="n"/>
      <c r="J52" s="357" t="inlineStr">
        <is>
          <t>SALDO MÊS ANTERIOR</t>
        </is>
      </c>
      <c r="K52" s="354" t="n"/>
      <c r="L52" s="355" t="n"/>
      <c r="M52" s="356">
        <f>MAIO!M55</f>
        <v/>
      </c>
      <c r="N52" s="355" t="n"/>
      <c r="O52" s="47" t="n"/>
      <c r="P52" s="47" t="n"/>
      <c r="Q52" s="47" t="n"/>
      <c r="R52" s="47" t="n"/>
      <c r="S52" s="47" t="n"/>
      <c r="T52" s="47" t="n"/>
      <c r="U52" s="47" t="n"/>
      <c r="V52" s="47" t="n"/>
    </row>
    <row r="53" ht="12" customHeight="1" thickBot="1">
      <c r="A53" s="106" t="n"/>
      <c r="B53" s="297" t="n"/>
      <c r="C53" s="297" t="n"/>
      <c r="D53" s="297" t="n"/>
      <c r="E53" s="297" t="n"/>
      <c r="F53" s="297" t="n"/>
      <c r="G53" s="297" t="n"/>
      <c r="H53" s="297" t="n"/>
      <c r="I53" s="298" t="n"/>
      <c r="J53" s="322" t="n"/>
      <c r="K53" s="322" t="n"/>
      <c r="L53" s="318" t="n"/>
      <c r="M53" s="321" t="n"/>
      <c r="N53" s="318" t="n"/>
      <c r="O53" s="47" t="n"/>
      <c r="P53" s="47" t="n"/>
      <c r="Q53" s="47" t="n"/>
      <c r="R53" s="47" t="n"/>
      <c r="S53" s="47" t="n"/>
      <c r="T53" s="47" t="n"/>
      <c r="U53" s="47" t="n"/>
      <c r="V53" s="47" t="n"/>
    </row>
    <row r="54" ht="12" customHeight="1">
      <c r="A54" s="106" t="n"/>
      <c r="B54" s="297" t="n"/>
      <c r="C54" s="297" t="n"/>
      <c r="D54" s="297" t="n"/>
      <c r="E54" s="297" t="n"/>
      <c r="F54" s="297" t="n"/>
      <c r="G54" s="297" t="n"/>
      <c r="H54" s="297" t="n"/>
      <c r="I54" s="298" t="n"/>
      <c r="J54" s="362" t="inlineStr">
        <is>
          <t>SALDO TOTAL</t>
        </is>
      </c>
      <c r="K54" s="354" t="n"/>
      <c r="L54" s="355" t="n"/>
      <c r="M54" s="356">
        <f>SUM(M50:N53)</f>
        <v/>
      </c>
      <c r="N54" s="355" t="n"/>
      <c r="O54" s="47" t="n"/>
      <c r="P54" s="47" t="n"/>
      <c r="Q54" s="47" t="n"/>
      <c r="R54" s="47" t="n"/>
      <c r="S54" s="47" t="n"/>
      <c r="T54" s="47" t="n"/>
      <c r="U54" s="47" t="n"/>
      <c r="V54" s="47" t="n"/>
    </row>
    <row r="55" ht="12" customHeight="1" thickBot="1">
      <c r="A55" s="106" t="n"/>
      <c r="B55" s="297" t="n"/>
      <c r="C55" s="297" t="n"/>
      <c r="D55" s="297" t="n"/>
      <c r="E55" s="297" t="n"/>
      <c r="F55" s="297" t="n"/>
      <c r="G55" s="297" t="n"/>
      <c r="H55" s="297" t="n"/>
      <c r="I55" s="298" t="n"/>
      <c r="J55" s="322" t="n"/>
      <c r="K55" s="322" t="n"/>
      <c r="L55" s="318" t="n"/>
      <c r="M55" s="321" t="n"/>
      <c r="N55" s="318" t="n"/>
      <c r="O55" s="47" t="n"/>
      <c r="P55" s="47" t="n"/>
      <c r="Q55" s="47" t="n"/>
      <c r="R55" s="47" t="n"/>
      <c r="S55" s="47" t="n"/>
      <c r="T55" s="47" t="n"/>
      <c r="U55" s="47" t="n"/>
      <c r="V55" s="47" t="n"/>
    </row>
    <row r="56" ht="12" customHeight="1" thickBot="1">
      <c r="A56" s="106" t="n"/>
      <c r="B56" s="297" t="n"/>
      <c r="C56" s="297" t="n"/>
      <c r="D56" s="297" t="n"/>
      <c r="E56" s="297" t="n"/>
      <c r="F56" s="297" t="n"/>
      <c r="G56" s="297" t="n"/>
      <c r="H56" s="297" t="n"/>
      <c r="I56" s="298" t="n"/>
      <c r="J56" s="357" t="inlineStr">
        <is>
          <t>SALDO: CREDOR? DEVEDOR?</t>
        </is>
      </c>
      <c r="K56" s="354" t="n"/>
      <c r="L56" s="355" t="n"/>
      <c r="M56" s="363">
        <f>IF(M54&lt;0,"DVEEDOR","CREDOR")</f>
        <v/>
      </c>
      <c r="N56" s="355" t="n"/>
      <c r="O56" s="47" t="n"/>
      <c r="P56" s="47" t="n"/>
      <c r="Q56" s="47" t="n"/>
      <c r="R56" s="47" t="n"/>
      <c r="S56" s="47" t="n"/>
      <c r="T56" s="47" t="n"/>
      <c r="U56" s="47" t="n"/>
      <c r="V56" s="47" t="n"/>
    </row>
    <row r="57" ht="12" customHeight="1" thickBot="1">
      <c r="A57" s="106" t="n"/>
      <c r="B57" s="297" t="n"/>
      <c r="C57" s="297" t="n"/>
      <c r="D57" s="297" t="n"/>
      <c r="E57" s="297" t="n"/>
      <c r="F57" s="297" t="n"/>
      <c r="G57" s="297" t="n"/>
      <c r="H57" s="297" t="n"/>
      <c r="I57" s="298" t="n"/>
      <c r="J57" s="322" t="n"/>
      <c r="K57" s="322" t="n"/>
      <c r="L57" s="318" t="n"/>
      <c r="M57" s="321" t="n"/>
      <c r="N57" s="318" t="n"/>
      <c r="O57" s="47" t="n"/>
      <c r="P57" s="47" t="n"/>
      <c r="Q57" s="47" t="n"/>
      <c r="R57" s="47" t="n"/>
      <c r="S57" s="47" t="n"/>
      <c r="T57" s="47" t="n"/>
      <c r="U57" s="47" t="n"/>
      <c r="V57" s="47" t="n"/>
    </row>
    <row r="58" ht="12" customHeight="1">
      <c r="A58" s="106" t="n"/>
      <c r="B58" s="297" t="n"/>
      <c r="C58" s="297" t="n"/>
      <c r="D58" s="297" t="n"/>
      <c r="E58" s="297" t="n"/>
      <c r="F58" s="297" t="n"/>
      <c r="G58" s="297" t="n"/>
      <c r="H58" s="297" t="n"/>
      <c r="I58" s="298" t="n"/>
      <c r="J58" s="260" t="n"/>
      <c r="K58" s="354" t="n"/>
      <c r="L58" s="355" t="n"/>
      <c r="M58" s="364" t="n"/>
      <c r="N58" s="355" t="n"/>
      <c r="O58" s="47" t="n"/>
      <c r="P58" s="47" t="n"/>
      <c r="Q58" s="47" t="n"/>
      <c r="R58" s="47" t="n"/>
      <c r="S58" s="47" t="n"/>
      <c r="T58" s="47" t="n"/>
      <c r="U58" s="47" t="n"/>
      <c r="V58" s="47" t="n"/>
    </row>
    <row r="59" ht="12" customHeight="1" thickBot="1">
      <c r="A59" s="106" t="n"/>
      <c r="B59" s="297" t="n"/>
      <c r="C59" s="297" t="n"/>
      <c r="D59" s="297" t="n"/>
      <c r="E59" s="297" t="n"/>
      <c r="F59" s="297" t="n"/>
      <c r="G59" s="297" t="n"/>
      <c r="H59" s="297" t="n"/>
      <c r="I59" s="298" t="n"/>
      <c r="J59" s="322" t="n"/>
      <c r="K59" s="322" t="n"/>
      <c r="L59" s="318" t="n"/>
      <c r="M59" s="321" t="n"/>
      <c r="N59" s="318" t="n"/>
      <c r="O59" s="47" t="n"/>
      <c r="P59" s="47" t="n"/>
      <c r="Q59" s="47" t="n"/>
      <c r="R59" s="47" t="n"/>
      <c r="S59" s="47" t="n"/>
      <c r="T59" s="47" t="n"/>
      <c r="U59" s="47" t="n"/>
      <c r="V59" s="47" t="n"/>
    </row>
    <row r="60" ht="12" customHeight="1" thickBot="1">
      <c r="A60" s="116" t="n"/>
      <c r="B60" s="312" t="n"/>
      <c r="C60" s="312" t="n"/>
      <c r="D60" s="312" t="n"/>
      <c r="E60" s="312" t="n"/>
      <c r="F60" s="312" t="n"/>
      <c r="G60" s="312" t="n"/>
      <c r="H60" s="312" t="n"/>
      <c r="I60" s="313" t="n"/>
      <c r="J60" s="111" t="n"/>
      <c r="K60" s="322" t="n"/>
      <c r="L60" s="318" t="n"/>
      <c r="M60" s="394" t="n"/>
      <c r="N60" s="318" t="n"/>
      <c r="O60" s="47" t="n"/>
      <c r="P60" s="47" t="n"/>
      <c r="Q60" s="47" t="n"/>
      <c r="R60" s="47" t="n"/>
      <c r="S60" s="47" t="n"/>
      <c r="T60" s="47" t="n"/>
      <c r="U60" s="47" t="n"/>
      <c r="V60" s="47" t="n"/>
    </row>
    <row r="61" ht="15" customHeight="1">
      <c r="A61" s="51" t="n"/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1" t="n"/>
      <c r="L61" s="104" t="inlineStr">
        <is>
          <t>Colaboração do Tônio</t>
        </is>
      </c>
      <c r="M61" s="354" t="n"/>
      <c r="N61" s="354" t="n"/>
      <c r="O61" s="47" t="n"/>
      <c r="P61" s="47" t="n"/>
      <c r="Q61" s="47" t="n"/>
      <c r="R61" s="47" t="n"/>
      <c r="S61" s="47" t="n"/>
      <c r="T61" s="47" t="n"/>
      <c r="U61" s="47" t="n"/>
      <c r="V61" s="47" t="n"/>
    </row>
    <row r="62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P62" s="47" t="n"/>
      <c r="Q62" s="47" t="n"/>
      <c r="R62" s="47" t="n"/>
      <c r="S62" s="47" t="n"/>
      <c r="T62" s="47" t="n"/>
      <c r="U62" s="47" t="n"/>
      <c r="V62" s="47" t="n"/>
    </row>
  </sheetData>
  <mergeCells count="93">
    <mergeCell ref="A12:E13"/>
    <mergeCell ref="C31:E31"/>
    <mergeCell ref="J10:K10"/>
    <mergeCell ref="C40:E40"/>
    <mergeCell ref="A56:I56"/>
    <mergeCell ref="C21:E21"/>
    <mergeCell ref="M60:N60"/>
    <mergeCell ref="A7:B7"/>
    <mergeCell ref="C23:E23"/>
    <mergeCell ref="A53:I53"/>
    <mergeCell ref="R12:S12"/>
    <mergeCell ref="C45:I45"/>
    <mergeCell ref="C18:E18"/>
    <mergeCell ref="M58:N59"/>
    <mergeCell ref="L61:N61"/>
    <mergeCell ref="C34:E34"/>
    <mergeCell ref="A48:I48"/>
    <mergeCell ref="C42:E42"/>
    <mergeCell ref="J45:M45"/>
    <mergeCell ref="A59:I59"/>
    <mergeCell ref="J54:L55"/>
    <mergeCell ref="C20:E20"/>
    <mergeCell ref="J56:L57"/>
    <mergeCell ref="C25:E25"/>
    <mergeCell ref="M46:N47"/>
    <mergeCell ref="J46:L47"/>
    <mergeCell ref="A46:I46"/>
    <mergeCell ref="C8:I8"/>
    <mergeCell ref="A11:B11"/>
    <mergeCell ref="C22:E22"/>
    <mergeCell ref="A45:B45"/>
    <mergeCell ref="L8:N8"/>
    <mergeCell ref="C39:E39"/>
    <mergeCell ref="C32:E32"/>
    <mergeCell ref="C38:E38"/>
    <mergeCell ref="A52:I52"/>
    <mergeCell ref="A3:N3"/>
    <mergeCell ref="A5:N5"/>
    <mergeCell ref="A8:B8"/>
    <mergeCell ref="C15:E15"/>
    <mergeCell ref="F11:H11"/>
    <mergeCell ref="C24:E24"/>
    <mergeCell ref="H12:I12"/>
    <mergeCell ref="C33:E33"/>
    <mergeCell ref="J12:K12"/>
    <mergeCell ref="A49:I49"/>
    <mergeCell ref="A4:N4"/>
    <mergeCell ref="J60:L60"/>
    <mergeCell ref="C26:E26"/>
    <mergeCell ref="C35:E35"/>
    <mergeCell ref="C16:E16"/>
    <mergeCell ref="K9:L9"/>
    <mergeCell ref="C7:I7"/>
    <mergeCell ref="A55:I55"/>
    <mergeCell ref="K6:N6"/>
    <mergeCell ref="C11:E11"/>
    <mergeCell ref="C36:E36"/>
    <mergeCell ref="A57:I57"/>
    <mergeCell ref="J48:L49"/>
    <mergeCell ref="M56:N57"/>
    <mergeCell ref="C28:E28"/>
    <mergeCell ref="C37:E37"/>
    <mergeCell ref="A2:N2"/>
    <mergeCell ref="C10:I10"/>
    <mergeCell ref="C30:E30"/>
    <mergeCell ref="M48:N49"/>
    <mergeCell ref="C14:E14"/>
    <mergeCell ref="C9:I9"/>
    <mergeCell ref="I11:N11"/>
    <mergeCell ref="P12:Q12"/>
    <mergeCell ref="M54:N55"/>
    <mergeCell ref="J50:L51"/>
    <mergeCell ref="C41:E41"/>
    <mergeCell ref="J58:L59"/>
    <mergeCell ref="J52:L53"/>
    <mergeCell ref="A50:I50"/>
    <mergeCell ref="C43:E43"/>
    <mergeCell ref="A6:B6"/>
    <mergeCell ref="F12:G12"/>
    <mergeCell ref="C27:E27"/>
    <mergeCell ref="A47:I47"/>
    <mergeCell ref="C17:E17"/>
    <mergeCell ref="C6:I6"/>
    <mergeCell ref="M52:N53"/>
    <mergeCell ref="C19:E19"/>
    <mergeCell ref="J7:K7"/>
    <mergeCell ref="M50:N51"/>
    <mergeCell ref="A58:I58"/>
    <mergeCell ref="A51:I51"/>
    <mergeCell ref="A60:I60"/>
    <mergeCell ref="C29:E29"/>
    <mergeCell ref="A44:K44"/>
    <mergeCell ref="A54:I54"/>
  </mergeCells>
  <conditionalFormatting sqref="A14:A43">
    <cfRule type="containsText" priority="48" operator="containsText" dxfId="25" stopIfTrue="1" text="F">
      <formula>NOT(ISERROR(SEARCH("F",A14)))</formula>
    </cfRule>
  </conditionalFormatting>
  <conditionalFormatting sqref="C14:E43">
    <cfRule type="cellIs" priority="46" operator="equal" dxfId="11" stopIfTrue="1">
      <formula>2</formula>
    </cfRule>
    <cfRule type="cellIs" priority="47" operator="equal" dxfId="11" stopIfTrue="1">
      <formula>8</formula>
    </cfRule>
  </conditionalFormatting>
  <conditionalFormatting sqref="L44">
    <cfRule type="cellIs" priority="41" operator="equal" dxfId="10" stopIfTrue="1">
      <formula>0</formula>
    </cfRule>
  </conditionalFormatting>
  <conditionalFormatting sqref="L14:M43">
    <cfRule type="cellIs" priority="43" operator="equal" dxfId="10" stopIfTrue="1">
      <formula>0</formula>
    </cfRule>
  </conditionalFormatting>
  <conditionalFormatting sqref="L14:N44">
    <cfRule type="cellIs" priority="42" operator="greaterThan" dxfId="10" stopIfTrue="1">
      <formula>0</formula>
    </cfRule>
    <cfRule type="cellIs" priority="44" operator="lessThan" dxfId="11" stopIfTrue="1">
      <formula>0</formula>
    </cfRule>
  </conditionalFormatting>
  <conditionalFormatting sqref="M46:N47">
    <cfRule type="cellIs" priority="37" operator="equal" dxfId="10" stopIfTrue="1">
      <formula>0</formula>
    </cfRule>
  </conditionalFormatting>
  <conditionalFormatting sqref="M46:N51 M52 M54 M56:N57 M58">
    <cfRule type="cellIs" priority="39" operator="greaterThan" dxfId="10" stopIfTrue="1">
      <formula>0</formula>
    </cfRule>
    <cfRule type="cellIs" priority="40" operator="lessThan" dxfId="11" stopIfTrue="1">
      <formula>0</formula>
    </cfRule>
  </conditionalFormatting>
  <conditionalFormatting sqref="M50:N51 M52 M54">
    <cfRule type="cellIs" priority="38" operator="equal" dxfId="14" stopIfTrue="1">
      <formula>0</formula>
    </cfRule>
  </conditionalFormatting>
  <conditionalFormatting sqref="M56:N57 M58">
    <cfRule type="cellIs" priority="34" operator="equal" dxfId="13" stopIfTrue="1">
      <formula>0</formula>
    </cfRule>
  </conditionalFormatting>
  <conditionalFormatting sqref="N14:N43">
    <cfRule type="cellIs" priority="45" operator="equal" dxfId="10" stopIfTrue="1">
      <formula>0</formula>
    </cfRule>
  </conditionalFormatting>
  <conditionalFormatting sqref="N14:N44">
    <cfRule type="cellIs" priority="49" operator="equal" dxfId="4" stopIfTrue="1">
      <formula>0</formula>
    </cfRule>
  </conditionalFormatting>
  <pageMargins left="0" right="0" top="0.5905511811023623" bottom="0.7874015748031497" header="0.3149606299212598" footer="0.3149606299212598"/>
  <pageSetup orientation="portrait" paperSize="9" scale="8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2"/>
  <sheetViews>
    <sheetView topLeftCell="A37" workbookViewId="0">
      <selection activeCell="M55" sqref="M55:N56"/>
    </sheetView>
  </sheetViews>
  <sheetFormatPr baseColWidth="8" defaultRowHeight="15"/>
  <cols>
    <col width="3.85546875" customWidth="1" min="4" max="4"/>
    <col width="11.28515625" customWidth="1" min="16" max="16"/>
    <col width="12.140625" customWidth="1" min="19" max="19"/>
    <col hidden="1" width="12.140625" customWidth="1" min="20" max="20"/>
    <col width="12.140625" customWidth="1" min="21" max="21"/>
  </cols>
  <sheetData>
    <row r="1">
      <c r="A1" s="52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4" t="n"/>
    </row>
    <row r="2" ht="15.75" customHeight="1">
      <c r="A2" s="286" t="inlineStr">
        <is>
          <t>GOVERNO DO ESTADO DO ESPÍRITO SANTO</t>
        </is>
      </c>
      <c r="N2" s="287" t="n"/>
    </row>
    <row r="3" ht="19.5" customHeight="1">
      <c r="A3" s="286" t="inlineStr">
        <is>
          <t>SUPERINTENDÊNCIA REGIONAL DE EDUCAÇÃO DE CARAPINA</t>
        </is>
      </c>
      <c r="N3" s="287" t="n"/>
    </row>
    <row r="4" ht="25.5" customHeight="1">
      <c r="A4" s="288" t="inlineStr">
        <is>
          <t>CARTÃO DE PONTO</t>
        </is>
      </c>
      <c r="N4" s="287" t="n"/>
      <c r="Q4" s="289" t="n">
        <v>0</v>
      </c>
      <c r="R4" t="inlineStr">
        <is>
          <t>saldo anterior</t>
        </is>
      </c>
    </row>
    <row r="5" ht="6.75" customHeight="1" thickBot="1">
      <c r="A5" s="290" t="n"/>
      <c r="N5" s="287" t="n"/>
    </row>
    <row r="6" ht="15.75" customHeight="1">
      <c r="A6" s="186" t="inlineStr">
        <is>
          <t xml:space="preserve">NOME: </t>
        </is>
      </c>
      <c r="B6" s="291" t="n"/>
      <c r="C6" s="188">
        <f>JAN!C6:I6</f>
        <v/>
      </c>
      <c r="D6" s="292" t="n"/>
      <c r="E6" s="292" t="n"/>
      <c r="F6" s="292" t="n"/>
      <c r="G6" s="292" t="n"/>
      <c r="H6" s="292" t="n"/>
      <c r="I6" s="293" t="n"/>
      <c r="J6" s="1" t="inlineStr">
        <is>
          <t>MÊS:</t>
        </is>
      </c>
      <c r="K6" s="294" t="n">
        <v>43646</v>
      </c>
      <c r="L6" s="292" t="n"/>
      <c r="M6" s="292" t="n"/>
      <c r="N6" s="293" t="n"/>
    </row>
    <row r="7">
      <c r="A7" s="295" t="inlineStr">
        <is>
          <t>CARGO:</t>
        </is>
      </c>
      <c r="B7" s="296" t="n"/>
      <c r="C7" s="203">
        <f>JAN!C7:I7</f>
        <v/>
      </c>
      <c r="D7" s="297" t="n"/>
      <c r="E7" s="297" t="n"/>
      <c r="F7" s="297" t="n"/>
      <c r="G7" s="297" t="n"/>
      <c r="H7" s="297" t="n"/>
      <c r="I7" s="298" t="n"/>
      <c r="J7" s="299" t="inlineStr">
        <is>
          <t>CH DIÁRIA:</t>
        </is>
      </c>
      <c r="K7" s="296" t="n"/>
      <c r="L7" s="300">
        <f>JAN!L7</f>
        <v/>
      </c>
      <c r="M7" s="301">
        <f>JAN!M7</f>
        <v/>
      </c>
      <c r="N7" s="302">
        <f>JAN!N7</f>
        <v/>
      </c>
    </row>
    <row r="8" ht="16.5" customHeight="1">
      <c r="A8" s="295" t="inlineStr">
        <is>
          <t>FUNÇÃO:</t>
        </is>
      </c>
      <c r="B8" s="296" t="n"/>
      <c r="C8" s="303">
        <f>JAN!C8:I8</f>
        <v/>
      </c>
      <c r="D8" s="297" t="n"/>
      <c r="E8" s="297" t="n"/>
      <c r="F8" s="297" t="n"/>
      <c r="G8" s="297" t="n"/>
      <c r="H8" s="297" t="n"/>
      <c r="I8" s="298" t="n"/>
      <c r="J8" s="4" t="inlineStr">
        <is>
          <t>DIAS ÚTEIS:</t>
        </is>
      </c>
      <c r="K8" s="5" t="n"/>
      <c r="L8" s="304">
        <f>COUNTIF(A14:A43,"U")</f>
        <v/>
      </c>
      <c r="M8" s="305" t="n"/>
      <c r="N8" s="306" t="n"/>
    </row>
    <row r="9" ht="16.5" customHeight="1">
      <c r="A9" s="2" t="inlineStr">
        <is>
          <t>EMPRESA:</t>
        </is>
      </c>
      <c r="B9" s="3" t="n"/>
      <c r="C9" s="129">
        <f>JAN!C9:I9</f>
        <v/>
      </c>
      <c r="D9" s="297" t="n"/>
      <c r="E9" s="297" t="n"/>
      <c r="F9" s="297" t="n"/>
      <c r="G9" s="297" t="n"/>
      <c r="H9" s="297" t="n"/>
      <c r="I9" s="298" t="n"/>
      <c r="J9" s="4" t="inlineStr">
        <is>
          <t>CNPJ:</t>
        </is>
      </c>
      <c r="K9" s="307">
        <f>JAN!K9:L9</f>
        <v/>
      </c>
      <c r="L9" s="296" t="n"/>
      <c r="M9" s="38" t="inlineStr">
        <is>
          <t>EXERCÍCIO:</t>
        </is>
      </c>
      <c r="N9" s="42" t="n">
        <v>2021</v>
      </c>
      <c r="P9" t="inlineStr">
        <is>
          <t>U: DIA ÚTIL</t>
        </is>
      </c>
    </row>
    <row r="10" ht="16.5" customHeight="1">
      <c r="A10" s="2" t="inlineStr">
        <is>
          <t>LOCALIZAÇÃO:</t>
        </is>
      </c>
      <c r="B10" s="3" t="n"/>
      <c r="C10" s="203">
        <f>JAN!C10:I10</f>
        <v/>
      </c>
      <c r="D10" s="297" t="n"/>
      <c r="E10" s="297" t="n"/>
      <c r="F10" s="297" t="n"/>
      <c r="G10" s="297" t="n"/>
      <c r="H10" s="297" t="n"/>
      <c r="I10" s="298" t="n"/>
      <c r="J10" s="395" t="inlineStr">
        <is>
          <t>NÚMERO FUNCIONAL:</t>
        </is>
      </c>
      <c r="K10" s="296" t="n"/>
      <c r="L10" s="43">
        <f>JAN!L10</f>
        <v/>
      </c>
      <c r="M10" s="37" t="inlineStr">
        <is>
          <t>VÍNCULO:</t>
        </is>
      </c>
      <c r="N10" s="44">
        <f>JAN!N10</f>
        <v/>
      </c>
      <c r="P10" t="inlineStr">
        <is>
          <t>F: SÁBADOS; DOMINGOS E FERIADOS</t>
        </is>
      </c>
    </row>
    <row r="11" ht="16.5" customHeight="1" thickBot="1">
      <c r="A11" s="309" t="inlineStr">
        <is>
          <t>REGIME JURÍDICO:</t>
        </is>
      </c>
      <c r="B11" s="310" t="n"/>
      <c r="C11" s="311">
        <f>JAN!C11:E11</f>
        <v/>
      </c>
      <c r="D11" s="312" t="n"/>
      <c r="E11" s="313" t="n"/>
      <c r="F11" s="314" t="inlineStr">
        <is>
          <t>ÓRGÃO DE EXERCÍCIO:</t>
        </is>
      </c>
      <c r="G11" s="315" t="n"/>
      <c r="H11" s="310" t="n"/>
      <c r="I11" s="316" t="inlineStr">
        <is>
          <t>Secretaria de Estado da Educação</t>
        </is>
      </c>
      <c r="J11" s="312" t="n"/>
      <c r="K11" s="312" t="n"/>
      <c r="L11" s="312" t="n"/>
      <c r="M11" s="312" t="n"/>
      <c r="N11" s="317" t="n"/>
    </row>
    <row r="12" ht="39" customHeight="1" thickBot="1">
      <c r="A12" s="168" t="inlineStr">
        <is>
          <t>DIAS DA SEMANA</t>
        </is>
      </c>
      <c r="E12" s="287" t="n"/>
      <c r="F12" s="170" t="inlineStr">
        <is>
          <t>1º TURNO</t>
        </is>
      </c>
      <c r="G12" s="318" t="n"/>
      <c r="H12" s="170" t="inlineStr">
        <is>
          <t>2º TURNO</t>
        </is>
      </c>
      <c r="I12" s="318" t="n"/>
      <c r="J12" s="170" t="inlineStr">
        <is>
          <t>3º TURNO</t>
        </is>
      </c>
      <c r="K12" s="318" t="n"/>
      <c r="L12" s="6" t="inlineStr">
        <is>
          <t xml:space="preserve">HORAS TRABALHADAS </t>
        </is>
      </c>
      <c r="M12" s="6" t="inlineStr">
        <is>
          <t>CH PADRÃO</t>
        </is>
      </c>
      <c r="N12" s="6" t="inlineStr">
        <is>
          <t xml:space="preserve">SALDO </t>
        </is>
      </c>
      <c r="O12" s="47" t="n"/>
      <c r="P12" s="173" t="inlineStr">
        <is>
          <t>saldo acumulado até hoje</t>
        </is>
      </c>
      <c r="Q12" s="47" t="n"/>
      <c r="R12" s="319">
        <f>SUM(U14:U44)+SUM(FEV!U44)+SUM(MAR!U14:U44)+SUM(ABR!U14:U44)+SUM(MAIO!U14:U44)+SUM(JUN!U14:U44)+SUM(JUL!U14:U44)+SUM(AGO!U14:U44)+SUM(SET!U14:U44)+SUM(OUT!U14:U44)+SUM(NOV!U14:U44)+SUM(DEZ!U14:U44)</f>
        <v/>
      </c>
      <c r="S12" s="320" t="n"/>
      <c r="U12" s="66">
        <f>TODAY()</f>
        <v/>
      </c>
    </row>
    <row r="13" ht="26.25" customHeight="1" thickBot="1">
      <c r="A13" s="321" t="n"/>
      <c r="B13" s="322" t="n"/>
      <c r="C13" s="322" t="n"/>
      <c r="D13" s="322" t="n"/>
      <c r="E13" s="318" t="n"/>
      <c r="F13" s="7" t="inlineStr">
        <is>
          <t>ENTRADA MANHÃ</t>
        </is>
      </c>
      <c r="G13" s="7" t="inlineStr">
        <is>
          <t>SAÍDA MANHÃ</t>
        </is>
      </c>
      <c r="H13" s="7" t="inlineStr">
        <is>
          <t>ENTRADA TARDE</t>
        </is>
      </c>
      <c r="I13" s="7" t="inlineStr">
        <is>
          <t>SAÍDA DA TARDE</t>
        </is>
      </c>
      <c r="J13" s="7" t="inlineStr">
        <is>
          <t>ENTRADA EXTRA</t>
        </is>
      </c>
      <c r="K13" s="7" t="inlineStr">
        <is>
          <t>SAÍDA EXTRA</t>
        </is>
      </c>
      <c r="L13" s="8" t="inlineStr">
        <is>
          <t>POR DIA</t>
        </is>
      </c>
      <c r="M13" s="8" t="inlineStr">
        <is>
          <t>DIÁRIA</t>
        </is>
      </c>
      <c r="N13" s="8" t="inlineStr">
        <is>
          <t>DIÁRIO</t>
        </is>
      </c>
      <c r="O13" s="47" t="n"/>
    </row>
    <row r="14" ht="16.5" customHeight="1" thickBot="1">
      <c r="A14" s="17">
        <f>IF(OR(C14=2,C14=8),"F","U")</f>
        <v/>
      </c>
      <c r="B14" s="45">
        <f>K6</f>
        <v/>
      </c>
      <c r="C14" s="390">
        <f>WEEKDAY(B14)+1</f>
        <v/>
      </c>
      <c r="D14" s="351" t="n"/>
      <c r="E14" s="291" t="n"/>
      <c r="F14" s="93" t="inlineStr">
        <is>
          <t>--</t>
        </is>
      </c>
      <c r="G14" s="94" t="inlineStr">
        <is>
          <t>--</t>
        </is>
      </c>
      <c r="H14" s="94" t="inlineStr">
        <is>
          <t>--</t>
        </is>
      </c>
      <c r="I14" s="94" t="inlineStr">
        <is>
          <t>--</t>
        </is>
      </c>
      <c r="J14" s="374" t="n"/>
      <c r="K14" s="328" t="n"/>
      <c r="L14" s="329">
        <f>IF(A14="U",(G14-F14)+(I14-H14)+(K14-J14),"NÃO ÚTIL")</f>
        <v/>
      </c>
      <c r="M14" s="330">
        <f>IF(A14="U",L7,"NÃO ÚTIL")</f>
        <v/>
      </c>
      <c r="N14" s="331">
        <f>IF(A14="U",(L14-M14),"NÃO ÚTIL")</f>
        <v/>
      </c>
      <c r="O14" s="47" t="n"/>
      <c r="P14" s="332">
        <f>IF(N14="não útil",0,N14)</f>
        <v/>
      </c>
      <c r="Q14" s="332">
        <f>P14</f>
        <v/>
      </c>
      <c r="R14" s="332">
        <f>Q14+$Q$4</f>
        <v/>
      </c>
      <c r="S14" s="47">
        <f>IF(B14=T14,"HOJE",".")</f>
        <v/>
      </c>
      <c r="T14" s="62">
        <f>TODAY()</f>
        <v/>
      </c>
      <c r="U14" s="332">
        <f>IF(S14="HOJE",R14,0)</f>
        <v/>
      </c>
      <c r="V14" s="47" t="n"/>
    </row>
    <row r="15" ht="16.5" customHeight="1" thickBot="1">
      <c r="A15" s="17">
        <f>IF(OR(C15=2,C15=8),"F","U")</f>
        <v/>
      </c>
      <c r="B15" s="46">
        <f>B14+1</f>
        <v/>
      </c>
      <c r="C15" s="393">
        <f>WEEKDAY(B15)+1</f>
        <v/>
      </c>
      <c r="D15" s="305" t="n"/>
      <c r="E15" s="296" t="n"/>
      <c r="F15" s="95" t="inlineStr">
        <is>
          <t>--</t>
        </is>
      </c>
      <c r="G15" s="96" t="inlineStr">
        <is>
          <t>--</t>
        </is>
      </c>
      <c r="H15" s="96" t="inlineStr">
        <is>
          <t>--</t>
        </is>
      </c>
      <c r="I15" s="96" t="inlineStr">
        <is>
          <t>--</t>
        </is>
      </c>
      <c r="J15" s="376" t="n"/>
      <c r="K15" s="336" t="n"/>
      <c r="L15" s="329">
        <f>IF(A15="U",(G15-F15)+(I15-H15)+(K15-J15),"NÃO ÚTIL")</f>
        <v/>
      </c>
      <c r="M15" s="330">
        <f>IF(A15="U",L7,"NÃO ÚTIL")</f>
        <v/>
      </c>
      <c r="N15" s="331">
        <f>IF(A15="U",(L15-M15),"NÃO ÚTIL")</f>
        <v/>
      </c>
      <c r="O15" s="337" t="n"/>
      <c r="P15" s="332">
        <f>IF(N15="não útil",0,N15)</f>
        <v/>
      </c>
      <c r="Q15" s="337">
        <f>P15+Q14</f>
        <v/>
      </c>
      <c r="R15" s="332">
        <f>Q15+$Q$4</f>
        <v/>
      </c>
      <c r="S15" s="47">
        <f>IF(B15=T15,"HOJE",".")</f>
        <v/>
      </c>
      <c r="T15" s="62">
        <f>TODAY()</f>
        <v/>
      </c>
      <c r="U15" s="332">
        <f>IF(S15="HOJE",R15,0)</f>
        <v/>
      </c>
      <c r="V15" s="47" t="n"/>
    </row>
    <row r="16" ht="16.5" customHeight="1" thickBot="1">
      <c r="A16" s="17">
        <f>IF(OR(C16=2,C16=8),"F","U")</f>
        <v/>
      </c>
      <c r="B16" s="46">
        <f>B15+1</f>
        <v/>
      </c>
      <c r="C16" s="393">
        <f>WEEKDAY(B16)+1</f>
        <v/>
      </c>
      <c r="D16" s="305" t="n"/>
      <c r="E16" s="296" t="n"/>
      <c r="F16" s="97" t="n"/>
      <c r="G16" s="98" t="n"/>
      <c r="H16" s="98" t="n"/>
      <c r="I16" s="99" t="n"/>
      <c r="J16" s="377" t="n"/>
      <c r="K16" s="339" t="n"/>
      <c r="L16" s="329">
        <f>IF(A16="U",(G16-F16)+(I16-H16)+(K16-J16),"NÃO ÚTIL")</f>
        <v/>
      </c>
      <c r="M16" s="330">
        <f>IF(A16="U",L7,"NÃO ÚTIL")</f>
        <v/>
      </c>
      <c r="N16" s="331">
        <f>IF(A16="U",(L16-M16),"NÃO ÚTIL")</f>
        <v/>
      </c>
      <c r="O16" s="337" t="n"/>
      <c r="P16" s="332">
        <f>IF(N16="não útil",0,N16)</f>
        <v/>
      </c>
      <c r="Q16" s="337">
        <f>P16+Q15</f>
        <v/>
      </c>
      <c r="R16" s="332">
        <f>Q16+$Q$4</f>
        <v/>
      </c>
      <c r="S16" s="47">
        <f>IF(B16=T16,"HOJE",".")</f>
        <v/>
      </c>
      <c r="T16" s="62">
        <f>TODAY()</f>
        <v/>
      </c>
      <c r="U16" s="332">
        <f>IF(S16="HOJE",R16,0)</f>
        <v/>
      </c>
      <c r="V16" s="47" t="n"/>
    </row>
    <row r="17" ht="16.5" customHeight="1" thickBot="1">
      <c r="A17" s="17">
        <f>IF(OR(C17=2,C17=8),"F","U")</f>
        <v/>
      </c>
      <c r="B17" s="46">
        <f>B16+1</f>
        <v/>
      </c>
      <c r="C17" s="393">
        <f>WEEKDAY(B17)+1</f>
        <v/>
      </c>
      <c r="D17" s="305" t="n"/>
      <c r="E17" s="296" t="n"/>
      <c r="F17" s="97" t="n"/>
      <c r="G17" s="98" t="n"/>
      <c r="H17" s="98" t="n"/>
      <c r="I17" s="99" t="n"/>
      <c r="J17" s="378" t="n"/>
      <c r="K17" s="341" t="n"/>
      <c r="L17" s="329">
        <f>IF(A17="U",(G17-F17)+(I17-H17)+(K17-J17),"NÃO ÚTIL")</f>
        <v/>
      </c>
      <c r="M17" s="330">
        <f>IF(A17="U",L7,"NÃO ÚTIL")</f>
        <v/>
      </c>
      <c r="N17" s="331">
        <f>IF(A17="U",(L17-M17),"NÃO ÚTIL")</f>
        <v/>
      </c>
      <c r="O17" s="47" t="n"/>
      <c r="P17" s="332">
        <f>IF(N17="não útil",0,N17)</f>
        <v/>
      </c>
      <c r="Q17" s="337">
        <f>P17+Q16</f>
        <v/>
      </c>
      <c r="R17" s="332">
        <f>Q17+$Q$4</f>
        <v/>
      </c>
      <c r="S17" s="47">
        <f>IF(B17=T17,"HOJE",".")</f>
        <v/>
      </c>
      <c r="T17" s="62">
        <f>TODAY()</f>
        <v/>
      </c>
      <c r="U17" s="332">
        <f>IF(S17="HOJE",R17,0)</f>
        <v/>
      </c>
      <c r="V17" s="47" t="n"/>
    </row>
    <row r="18" ht="16.5" customHeight="1" thickBot="1">
      <c r="A18" s="17" t="inlineStr">
        <is>
          <t>F</t>
        </is>
      </c>
      <c r="B18" s="46">
        <f>B17+1</f>
        <v/>
      </c>
      <c r="C18" s="393">
        <f>WEEKDAY(B18)+1</f>
        <v/>
      </c>
      <c r="D18" s="305" t="n"/>
      <c r="E18" s="296" t="n"/>
      <c r="F18" s="103" t="n"/>
      <c r="G18" s="103" t="n"/>
      <c r="H18" s="103" t="n"/>
      <c r="I18" s="103" t="n"/>
      <c r="J18" s="377" t="n"/>
      <c r="K18" s="339" t="n"/>
      <c r="L18" s="329">
        <f>IF(A18="U",(G18-F18)+(I18-H18)+(K18-J18),"NÃO ÚTIL")</f>
        <v/>
      </c>
      <c r="M18" s="330">
        <f>IF(A18="U",L7,"NÃO ÚTIL")</f>
        <v/>
      </c>
      <c r="N18" s="331">
        <f>IF(A18="U",(L18-M18),"NÃO ÚTIL")</f>
        <v/>
      </c>
      <c r="O18" s="47" t="n"/>
      <c r="P18" s="332">
        <f>IF(N18="não útil",0,N18)</f>
        <v/>
      </c>
      <c r="Q18" s="337">
        <f>P18+Q17</f>
        <v/>
      </c>
      <c r="R18" s="332">
        <f>Q18+$Q$4</f>
        <v/>
      </c>
      <c r="S18" s="47">
        <f>IF(B18=T18,"HOJE",".")</f>
        <v/>
      </c>
      <c r="T18" s="62">
        <f>TODAY()</f>
        <v/>
      </c>
      <c r="U18" s="332">
        <f>IF(S18="HOJE",R18,0)</f>
        <v/>
      </c>
      <c r="V18" s="47" t="n"/>
    </row>
    <row r="19" ht="16.5" customHeight="1" thickBot="1">
      <c r="A19" s="17">
        <f>IF(OR(C19=2,C19=8),"F","U")</f>
        <v/>
      </c>
      <c r="B19" s="46">
        <f>B18+1</f>
        <v/>
      </c>
      <c r="C19" s="393">
        <f>WEEKDAY(B19)+1</f>
        <v/>
      </c>
      <c r="D19" s="305" t="n"/>
      <c r="E19" s="296" t="n"/>
      <c r="F19" s="97" t="n"/>
      <c r="G19" s="98" t="n"/>
      <c r="H19" s="98" t="n"/>
      <c r="I19" s="99" t="n"/>
      <c r="J19" s="376" t="n"/>
      <c r="K19" s="336" t="n"/>
      <c r="L19" s="329">
        <f>IF(A19="U",(G19-F19)+(I19-H19)+(K19-J19),"NÃO ÚTIL")</f>
        <v/>
      </c>
      <c r="M19" s="330">
        <f>IF(A19="U",L7,"NÃO ÚTIL")</f>
        <v/>
      </c>
      <c r="N19" s="331">
        <f>IF(A19="U",(L19-M19),"NÃO ÚTIL")</f>
        <v/>
      </c>
      <c r="O19" s="47" t="n"/>
      <c r="P19" s="332">
        <f>IF(N19="não útil",0,N19)</f>
        <v/>
      </c>
      <c r="Q19" s="337">
        <f>P19+Q18</f>
        <v/>
      </c>
      <c r="R19" s="332">
        <f>Q19+$Q$4</f>
        <v/>
      </c>
      <c r="S19" s="47">
        <f>IF(B19=T19,"HOJE",".")</f>
        <v/>
      </c>
      <c r="T19" s="62">
        <f>TODAY()</f>
        <v/>
      </c>
      <c r="U19" s="332">
        <f>IF(S19="HOJE",R19,0)</f>
        <v/>
      </c>
      <c r="V19" s="47" t="n"/>
    </row>
    <row r="20" ht="16.5" customHeight="1" thickBot="1">
      <c r="A20" s="17">
        <f>IF(OR(C20=2,C20=8),"F","U")</f>
        <v/>
      </c>
      <c r="B20" s="46">
        <f>B19+1</f>
        <v/>
      </c>
      <c r="C20" s="393">
        <f>WEEKDAY(B20)+1</f>
        <v/>
      </c>
      <c r="D20" s="305" t="n"/>
      <c r="E20" s="296" t="n"/>
      <c r="F20" s="97" t="n"/>
      <c r="G20" s="98" t="n"/>
      <c r="H20" s="98" t="n"/>
      <c r="I20" s="99" t="n"/>
      <c r="J20" s="376" t="n"/>
      <c r="K20" s="336" t="n"/>
      <c r="L20" s="329">
        <f>IF(A20="U",(G20-F20)+(I20-H20)+(K20-J20),"NÃO ÚTIL")</f>
        <v/>
      </c>
      <c r="M20" s="330">
        <f>IF(A20="U",L7,"NÃO ÚTIL")</f>
        <v/>
      </c>
      <c r="N20" s="331">
        <f>IF(A20="U",(L20-M20),"NÃO ÚTIL")</f>
        <v/>
      </c>
      <c r="O20" s="47" t="n"/>
      <c r="P20" s="332">
        <f>IF(N20="não útil",0,N20)</f>
        <v/>
      </c>
      <c r="Q20" s="337">
        <f>P20+Q19</f>
        <v/>
      </c>
      <c r="R20" s="332">
        <f>Q20+$Q$4</f>
        <v/>
      </c>
      <c r="S20" s="47">
        <f>IF(B20=T20,"HOJE",".")</f>
        <v/>
      </c>
      <c r="T20" s="62">
        <f>TODAY()</f>
        <v/>
      </c>
      <c r="U20" s="332">
        <f>IF(S20="HOJE",R20,0)</f>
        <v/>
      </c>
      <c r="V20" s="47" t="n"/>
    </row>
    <row r="21" ht="16.5" customHeight="1" thickBot="1">
      <c r="A21" s="17">
        <f>IF(OR(C21=2,C21=8),"F","U")</f>
        <v/>
      </c>
      <c r="B21" s="46">
        <f>B20+1</f>
        <v/>
      </c>
      <c r="C21" s="393">
        <f>WEEKDAY(B21)+1</f>
        <v/>
      </c>
      <c r="D21" s="305" t="n"/>
      <c r="E21" s="296" t="n"/>
      <c r="F21" s="95" t="n"/>
      <c r="G21" s="96" t="n"/>
      <c r="H21" s="96" t="n"/>
      <c r="I21" s="96" t="n"/>
      <c r="J21" s="378" t="n"/>
      <c r="K21" s="341" t="n"/>
      <c r="L21" s="329">
        <f>IF(A21="U",(G21-F21)+(I21-H21)+(K21-J21),"NÃO ÚTIL")</f>
        <v/>
      </c>
      <c r="M21" s="330">
        <f>IF(A21="U",L7,"NÃO ÚTIL")</f>
        <v/>
      </c>
      <c r="N21" s="331">
        <f>IF(A21="U",(L21-M21),"NÃO ÚTIL")</f>
        <v/>
      </c>
      <c r="O21" s="47" t="n"/>
      <c r="P21" s="332">
        <f>IF(N21="não útil",0,N21)</f>
        <v/>
      </c>
      <c r="Q21" s="337">
        <f>P21+Q20</f>
        <v/>
      </c>
      <c r="R21" s="332">
        <f>Q21+$Q$4</f>
        <v/>
      </c>
      <c r="S21" s="47">
        <f>IF(B21=T21,"HOJE",".")</f>
        <v/>
      </c>
      <c r="T21" s="62">
        <f>TODAY()</f>
        <v/>
      </c>
      <c r="U21" s="332">
        <f>IF(S21="HOJE",R21,0)</f>
        <v/>
      </c>
      <c r="V21" s="47" t="n"/>
    </row>
    <row r="22" ht="16.5" customHeight="1" thickBot="1">
      <c r="A22" s="17">
        <f>IF(OR(C22=2,C22=8),"F","U")</f>
        <v/>
      </c>
      <c r="B22" s="46">
        <f>B21+1</f>
        <v/>
      </c>
      <c r="C22" s="393">
        <f>WEEKDAY(B22)+1</f>
        <v/>
      </c>
      <c r="D22" s="305" t="n"/>
      <c r="E22" s="296" t="n"/>
      <c r="F22" s="95" t="n"/>
      <c r="G22" s="96" t="n"/>
      <c r="H22" s="96" t="n"/>
      <c r="I22" s="96" t="n"/>
      <c r="J22" s="377" t="n"/>
      <c r="K22" s="339" t="n"/>
      <c r="L22" s="329">
        <f>IF(A22="U",(G22-F22)+(I22-H22)+(K22-J22),"NÃO ÚTIL")</f>
        <v/>
      </c>
      <c r="M22" s="330">
        <f>IF(A22="U",L7,"NÃO ÚTIL")</f>
        <v/>
      </c>
      <c r="N22" s="331">
        <f>IF(A22="U",(L22-M22),"NÃO ÚTIL")</f>
        <v/>
      </c>
      <c r="O22" s="47" t="n"/>
      <c r="P22" s="332">
        <f>IF(N22="não útil",0,N22)</f>
        <v/>
      </c>
      <c r="Q22" s="337">
        <f>P22+Q21</f>
        <v/>
      </c>
      <c r="R22" s="332">
        <f>Q22+$Q$4</f>
        <v/>
      </c>
      <c r="S22" s="47">
        <f>IF(B22=T22,"HOJE",".")</f>
        <v/>
      </c>
      <c r="T22" s="62">
        <f>TODAY()</f>
        <v/>
      </c>
      <c r="U22" s="332">
        <f>IF(S22="HOJE",R22,0)</f>
        <v/>
      </c>
      <c r="V22" s="47" t="n"/>
    </row>
    <row r="23" ht="16.5" customHeight="1" thickBot="1">
      <c r="A23" s="17">
        <f>IF(OR(C23=2,C23=8),"F","U")</f>
        <v/>
      </c>
      <c r="B23" s="46">
        <f>B22+1</f>
        <v/>
      </c>
      <c r="C23" s="393">
        <f>WEEKDAY(B23)+1</f>
        <v/>
      </c>
      <c r="D23" s="305" t="n"/>
      <c r="E23" s="296" t="n"/>
      <c r="F23" s="97" t="n"/>
      <c r="G23" s="98" t="n"/>
      <c r="H23" s="98" t="n"/>
      <c r="I23" s="99" t="n"/>
      <c r="J23" s="376" t="n"/>
      <c r="K23" s="336" t="n"/>
      <c r="L23" s="329">
        <f>IF(A23="U",(G23-F23)+(I23-H23)+(K23-J23),"NÃO ÚTIL")</f>
        <v/>
      </c>
      <c r="M23" s="330">
        <f>IF(A23="U",L7,"NÃO ÚTIL")</f>
        <v/>
      </c>
      <c r="N23" s="331">
        <f>IF(A23="U",(L23-M23),"NÃO ÚTIL")</f>
        <v/>
      </c>
      <c r="O23" s="47" t="n"/>
      <c r="P23" s="332">
        <f>IF(N23="não útil",0,N23)</f>
        <v/>
      </c>
      <c r="Q23" s="337">
        <f>P23+Q22</f>
        <v/>
      </c>
      <c r="R23" s="332">
        <f>Q23+$Q$4</f>
        <v/>
      </c>
      <c r="S23" s="47">
        <f>IF(B23=T23,"HOJE",".")</f>
        <v/>
      </c>
      <c r="T23" s="62">
        <f>TODAY()</f>
        <v/>
      </c>
      <c r="U23" s="332">
        <f>IF(S23="HOJE",R23,0)</f>
        <v/>
      </c>
      <c r="V23" s="47" t="n"/>
    </row>
    <row r="24" ht="16.5" customHeight="1" thickBot="1">
      <c r="A24" s="17">
        <f>IF(OR(C24=2,C24=8),"F","U")</f>
        <v/>
      </c>
      <c r="B24" s="46">
        <f>B23+1</f>
        <v/>
      </c>
      <c r="C24" s="393">
        <f>WEEKDAY(B24)+1</f>
        <v/>
      </c>
      <c r="D24" s="305" t="n"/>
      <c r="E24" s="296" t="n"/>
      <c r="F24" s="97" t="n"/>
      <c r="G24" s="98" t="n"/>
      <c r="H24" s="98" t="n"/>
      <c r="I24" s="99" t="n"/>
      <c r="J24" s="377" t="n"/>
      <c r="K24" s="339" t="n"/>
      <c r="L24" s="329">
        <f>IF(A24="U",(G24-F24)+(I24-H24)+(K24-J24),"NÃO ÚTIL")</f>
        <v/>
      </c>
      <c r="M24" s="330">
        <f>IF(A24="U",L7,"NÃO ÚTIL")</f>
        <v/>
      </c>
      <c r="N24" s="331">
        <f>IF(A24="U",(L24-M24),"NÃO ÚTIL")</f>
        <v/>
      </c>
      <c r="O24" s="47" t="n"/>
      <c r="P24" s="332">
        <f>IF(N24="não útil",0,N24)</f>
        <v/>
      </c>
      <c r="Q24" s="337">
        <f>P24+Q23</f>
        <v/>
      </c>
      <c r="R24" s="332">
        <f>Q24+$Q$4</f>
        <v/>
      </c>
      <c r="S24" s="47">
        <f>IF(B24=T24,"HOJE",".")</f>
        <v/>
      </c>
      <c r="T24" s="62">
        <f>TODAY()</f>
        <v/>
      </c>
      <c r="U24" s="332">
        <f>IF(S24="HOJE",R24,0)</f>
        <v/>
      </c>
      <c r="V24" s="47" t="n"/>
    </row>
    <row r="25" ht="16.5" customHeight="1" thickBot="1">
      <c r="A25" s="17">
        <f>IF(OR(C25=2,C25=8),"F","U")</f>
        <v/>
      </c>
      <c r="B25" s="46">
        <f>B24+1</f>
        <v/>
      </c>
      <c r="C25" s="393">
        <f>WEEKDAY(B25)+1</f>
        <v/>
      </c>
      <c r="D25" s="305" t="n"/>
      <c r="E25" s="296" t="n"/>
      <c r="F25" s="97" t="n"/>
      <c r="G25" s="98" t="n"/>
      <c r="H25" s="98" t="n"/>
      <c r="I25" s="99" t="n"/>
      <c r="J25" s="376" t="n"/>
      <c r="K25" s="336" t="n"/>
      <c r="L25" s="329">
        <f>IF(A25="U",(G25-F25)+(I25-H25)+(K25-J25),"NÃO ÚTIL")</f>
        <v/>
      </c>
      <c r="M25" s="330">
        <f>IF(A25="U",L7,"NÃO ÚTIL")</f>
        <v/>
      </c>
      <c r="N25" s="331">
        <f>IF(A25="U",(L25-M25),"NÃO ÚTIL")</f>
        <v/>
      </c>
      <c r="O25" s="47" t="n"/>
      <c r="P25" s="332">
        <f>IF(N25="não útil",0,N25)</f>
        <v/>
      </c>
      <c r="Q25" s="337">
        <f>P25+Q24</f>
        <v/>
      </c>
      <c r="R25" s="332">
        <f>Q25+$Q$4</f>
        <v/>
      </c>
      <c r="S25" s="47">
        <f>IF(B25=T25,"HOJE",".")</f>
        <v/>
      </c>
      <c r="T25" s="62">
        <f>TODAY()</f>
        <v/>
      </c>
      <c r="U25" s="332">
        <f>IF(S25="HOJE",R25,0)</f>
        <v/>
      </c>
      <c r="V25" s="47" t="n"/>
    </row>
    <row r="26" ht="16.5" customHeight="1" thickBot="1">
      <c r="A26" s="17">
        <f>IF(OR(C26=2,C26=8),"F","U")</f>
        <v/>
      </c>
      <c r="B26" s="46">
        <f>B25+1</f>
        <v/>
      </c>
      <c r="C26" s="393">
        <f>WEEKDAY(B26)+1</f>
        <v/>
      </c>
      <c r="D26" s="305" t="n"/>
      <c r="E26" s="296" t="n"/>
      <c r="F26" s="97" t="n"/>
      <c r="G26" s="98" t="n"/>
      <c r="H26" s="98" t="n"/>
      <c r="I26" s="99" t="n"/>
      <c r="J26" s="378" t="n"/>
      <c r="K26" s="341" t="n"/>
      <c r="L26" s="329">
        <f>IF(A26="U",(G26-F26)+(I26-H26)+(K26-J26),"NÃO ÚTIL")</f>
        <v/>
      </c>
      <c r="M26" s="330">
        <f>IF(A26="U",L7,"NÃO ÚTIL")</f>
        <v/>
      </c>
      <c r="N26" s="331">
        <f>IF(A26="U",(L26-M26),"NÃO ÚTIL")</f>
        <v/>
      </c>
      <c r="O26" s="47" t="n"/>
      <c r="P26" s="332">
        <f>IF(N26="não útil",0,N26)</f>
        <v/>
      </c>
      <c r="Q26" s="337">
        <f>P26+Q25</f>
        <v/>
      </c>
      <c r="R26" s="332">
        <f>Q26+$Q$4</f>
        <v/>
      </c>
      <c r="S26" s="47">
        <f>IF(B26=T26,"HOJE",".")</f>
        <v/>
      </c>
      <c r="T26" s="62">
        <f>TODAY()</f>
        <v/>
      </c>
      <c r="U26" s="332">
        <f>IF(S26="HOJE",R26,0)</f>
        <v/>
      </c>
      <c r="V26" s="47" t="n"/>
    </row>
    <row r="27" ht="16.5" customHeight="1" thickBot="1">
      <c r="A27" s="17" t="inlineStr">
        <is>
          <t>F</t>
        </is>
      </c>
      <c r="B27" s="46">
        <f>B26+1</f>
        <v/>
      </c>
      <c r="C27" s="393">
        <f>WEEKDAY(B27)+1</f>
        <v/>
      </c>
      <c r="D27" s="305" t="n"/>
      <c r="E27" s="296" t="n"/>
      <c r="F27" s="103" t="n"/>
      <c r="G27" s="103" t="n"/>
      <c r="H27" s="103" t="n"/>
      <c r="I27" s="103" t="n"/>
      <c r="J27" s="377" t="n"/>
      <c r="K27" s="339" t="n"/>
      <c r="L27" s="329">
        <f>IF(A27="U",(G27-F27)+(I27-H27)+(K27-J27),"NÃO ÚTIL")</f>
        <v/>
      </c>
      <c r="M27" s="330">
        <f>IF(A27="U",L7,"NÃO ÚTIL")</f>
        <v/>
      </c>
      <c r="N27" s="331">
        <f>IF(A27="U",(L27-M27),"NÃO ÚTIL")</f>
        <v/>
      </c>
      <c r="O27" s="47" t="n"/>
      <c r="P27" s="332">
        <f>IF(N27="não útil",0,N27)</f>
        <v/>
      </c>
      <c r="Q27" s="337">
        <f>P27+Q26</f>
        <v/>
      </c>
      <c r="R27" s="332">
        <f>Q27+$Q$4</f>
        <v/>
      </c>
      <c r="S27" s="47">
        <f>IF(B27=T27,"HOJE",".")</f>
        <v/>
      </c>
      <c r="T27" s="62">
        <f>TODAY()</f>
        <v/>
      </c>
      <c r="U27" s="332">
        <f>IF(S27="HOJE",R27,0)</f>
        <v/>
      </c>
      <c r="V27" s="47" t="n"/>
    </row>
    <row r="28" ht="16.5" customHeight="1" thickBot="1">
      <c r="A28" s="17">
        <f>IF(OR(C28=2,C28=8),"F","U")</f>
        <v/>
      </c>
      <c r="B28" s="46">
        <f>B27+1</f>
        <v/>
      </c>
      <c r="C28" s="393">
        <f>WEEKDAY(B28)+1</f>
        <v/>
      </c>
      <c r="D28" s="305" t="n"/>
      <c r="E28" s="296" t="n"/>
      <c r="F28" s="95" t="n"/>
      <c r="G28" s="96" t="n"/>
      <c r="H28" s="96" t="n"/>
      <c r="I28" s="96" t="n"/>
      <c r="J28" s="376" t="n"/>
      <c r="K28" s="336" t="n"/>
      <c r="L28" s="329">
        <f>IF(A28="U",(G28-F28)+(I28-H28)+(K28-J28),"NÃO ÚTIL")</f>
        <v/>
      </c>
      <c r="M28" s="330">
        <f>IF(A28="U",L7,"NÃO ÚTIL")</f>
        <v/>
      </c>
      <c r="N28" s="331">
        <f>IF(A28="U",(L28-M28),"NÃO ÚTIL")</f>
        <v/>
      </c>
      <c r="O28" s="47" t="n"/>
      <c r="P28" s="332">
        <f>IF(N28="não útil",0,N28)</f>
        <v/>
      </c>
      <c r="Q28" s="337">
        <f>P28+Q27</f>
        <v/>
      </c>
      <c r="R28" s="332">
        <f>Q28+$Q$4</f>
        <v/>
      </c>
      <c r="S28" s="47">
        <f>IF(B28=T28,"HOJE",".")</f>
        <v/>
      </c>
      <c r="T28" s="62">
        <f>TODAY()</f>
        <v/>
      </c>
      <c r="U28" s="332">
        <f>IF(S28="HOJE",R28,0)</f>
        <v/>
      </c>
      <c r="V28" s="47" t="n"/>
    </row>
    <row r="29" ht="16.5" customHeight="1" thickBot="1">
      <c r="A29" s="17">
        <f>IF(OR(C29=2,C29=8),"F","U")</f>
        <v/>
      </c>
      <c r="B29" s="46">
        <f>B28+1</f>
        <v/>
      </c>
      <c r="C29" s="393">
        <f>WEEKDAY(B29)+1</f>
        <v/>
      </c>
      <c r="D29" s="305" t="n"/>
      <c r="E29" s="296" t="n"/>
      <c r="F29" s="95" t="n"/>
      <c r="G29" s="96" t="n"/>
      <c r="H29" s="96" t="n"/>
      <c r="I29" s="96" t="n"/>
      <c r="J29" s="378" t="n"/>
      <c r="K29" s="341" t="n"/>
      <c r="L29" s="329">
        <f>IF(A29="U",(G29-F29)+(I29-H29)+(K29-J29),"NÃO ÚTIL")</f>
        <v/>
      </c>
      <c r="M29" s="330">
        <f>IF(A29="U",L7,"NÃO ÚTIL")</f>
        <v/>
      </c>
      <c r="N29" s="331">
        <f>IF(A29="U",(L29-M29),"NÃO ÚTIL")</f>
        <v/>
      </c>
      <c r="O29" s="47" t="n"/>
      <c r="P29" s="332">
        <f>IF(N29="não útil",0,N29)</f>
        <v/>
      </c>
      <c r="Q29" s="337">
        <f>P29+Q28</f>
        <v/>
      </c>
      <c r="R29" s="332">
        <f>Q29+$Q$4</f>
        <v/>
      </c>
      <c r="S29" s="47">
        <f>IF(B29=T29,"HOJE",".")</f>
        <v/>
      </c>
      <c r="T29" s="62">
        <f>TODAY()</f>
        <v/>
      </c>
      <c r="U29" s="332">
        <f>IF(S29="HOJE",R29,0)</f>
        <v/>
      </c>
      <c r="V29" s="47" t="n"/>
    </row>
    <row r="30" ht="16.5" customHeight="1" thickBot="1">
      <c r="A30" s="17">
        <f>IF(OR(C30=2,C30=8),"F","U")</f>
        <v/>
      </c>
      <c r="B30" s="46">
        <f>B29+1</f>
        <v/>
      </c>
      <c r="C30" s="393">
        <f>WEEKDAY(B30)+1</f>
        <v/>
      </c>
      <c r="D30" s="305" t="n"/>
      <c r="E30" s="296" t="n"/>
      <c r="F30" s="97" t="n"/>
      <c r="G30" s="98" t="n"/>
      <c r="H30" s="98" t="n"/>
      <c r="I30" s="99" t="n"/>
      <c r="J30" s="377" t="n"/>
      <c r="K30" s="339" t="n"/>
      <c r="L30" s="329">
        <f>IF(A30="U",(G30-F30)+(I30-H30)+(K30-J30),"NÃO ÚTIL")</f>
        <v/>
      </c>
      <c r="M30" s="330">
        <f>IF(A30="U",L7,"NÃO ÚTIL")</f>
        <v/>
      </c>
      <c r="N30" s="331">
        <f>IF(A30="U",(L30-M30),"NÃO ÚTIL")</f>
        <v/>
      </c>
      <c r="O30" s="47" t="n"/>
      <c r="P30" s="332">
        <f>IF(N30="não útil",0,N30)</f>
        <v/>
      </c>
      <c r="Q30" s="337">
        <f>P30+Q29</f>
        <v/>
      </c>
      <c r="R30" s="332">
        <f>Q30+$Q$4</f>
        <v/>
      </c>
      <c r="S30" s="47">
        <f>IF(B30=T30,"HOJE",".")</f>
        <v/>
      </c>
      <c r="T30" s="62">
        <f>TODAY()</f>
        <v/>
      </c>
      <c r="U30" s="332">
        <f>IF(S30="HOJE",R30,0)</f>
        <v/>
      </c>
      <c r="V30" s="47" t="n"/>
    </row>
    <row r="31" ht="16.5" customHeight="1" thickBot="1">
      <c r="A31" s="17">
        <f>IF(OR(C31=2,C31=8),"F","U")</f>
        <v/>
      </c>
      <c r="B31" s="46">
        <f>B30+1</f>
        <v/>
      </c>
      <c r="C31" s="393">
        <f>WEEKDAY(B31)+1</f>
        <v/>
      </c>
      <c r="D31" s="305" t="n"/>
      <c r="E31" s="296" t="n"/>
      <c r="F31" s="97" t="n"/>
      <c r="G31" s="98" t="n"/>
      <c r="H31" s="98" t="n"/>
      <c r="I31" s="99" t="n"/>
      <c r="J31" s="378" t="n"/>
      <c r="K31" s="341" t="n"/>
      <c r="L31" s="329">
        <f>IF(A31="U",(G31-F31)+(I31-H31)+(K31-J31),"NÃO ÚTIL")</f>
        <v/>
      </c>
      <c r="M31" s="330">
        <f>IF(A31="U",L7,"NÃO ÚTIL")</f>
        <v/>
      </c>
      <c r="N31" s="331">
        <f>IF(A31="U",(L31-M31),"NÃO ÚTIL")</f>
        <v/>
      </c>
      <c r="O31" s="47" t="n"/>
      <c r="P31" s="332">
        <f>IF(N31="não útil",0,N31)</f>
        <v/>
      </c>
      <c r="Q31" s="337">
        <f>P31+Q30</f>
        <v/>
      </c>
      <c r="R31" s="332">
        <f>Q31+$Q$4</f>
        <v/>
      </c>
      <c r="S31" s="47">
        <f>IF(B31=T31,"HOJE",".")</f>
        <v/>
      </c>
      <c r="T31" s="62">
        <f>TODAY()</f>
        <v/>
      </c>
      <c r="U31" s="332">
        <f>IF(S31="HOJE",R31,0)</f>
        <v/>
      </c>
      <c r="V31" s="47" t="n"/>
    </row>
    <row r="32" ht="16.5" customHeight="1" thickBot="1">
      <c r="A32" s="17">
        <f>IF(OR(C32=2,C32=8),"F","U")</f>
        <v/>
      </c>
      <c r="B32" s="46">
        <f>B31+1</f>
        <v/>
      </c>
      <c r="C32" s="393">
        <f>WEEKDAY(B32)+1</f>
        <v/>
      </c>
      <c r="D32" s="305" t="n"/>
      <c r="E32" s="296" t="n"/>
      <c r="F32" s="97" t="n"/>
      <c r="G32" s="98" t="n"/>
      <c r="H32" s="98" t="n"/>
      <c r="I32" s="99" t="n"/>
      <c r="J32" s="338" t="n"/>
      <c r="K32" s="339" t="n"/>
      <c r="L32" s="329">
        <f>IF(A32="U",(G32-F32)+(I32-H32)+(K32-J32),"NÃO ÚTIL")</f>
        <v/>
      </c>
      <c r="M32" s="330">
        <f>IF(A32="U",L7,"NÃO ÚTIL")</f>
        <v/>
      </c>
      <c r="N32" s="331">
        <f>IF(A32="U",(L32-M32),"NÃO ÚTIL")</f>
        <v/>
      </c>
      <c r="O32" s="47" t="n"/>
      <c r="P32" s="332">
        <f>IF(N32="não útil",0,N32)</f>
        <v/>
      </c>
      <c r="Q32" s="337">
        <f>P32+Q31</f>
        <v/>
      </c>
      <c r="R32" s="332">
        <f>Q32+$Q$4</f>
        <v/>
      </c>
      <c r="S32" s="47">
        <f>IF(B32=T32,"HOJE",".")</f>
        <v/>
      </c>
      <c r="T32" s="62">
        <f>TODAY()</f>
        <v/>
      </c>
      <c r="U32" s="332">
        <f>IF(S32="HOJE",R32,0)</f>
        <v/>
      </c>
      <c r="V32" s="47" t="n"/>
    </row>
    <row r="33" ht="16.5" customHeight="1" thickBot="1">
      <c r="A33" s="17">
        <f>IF(OR(C33=2,C33=8),"F","U")</f>
        <v/>
      </c>
      <c r="B33" s="46">
        <f>B32+1</f>
        <v/>
      </c>
      <c r="C33" s="393">
        <f>WEEKDAY(B33)+1</f>
        <v/>
      </c>
      <c r="D33" s="305" t="n"/>
      <c r="E33" s="296" t="n"/>
      <c r="F33" s="97" t="n"/>
      <c r="G33" s="98" t="n"/>
      <c r="H33" s="98" t="n"/>
      <c r="I33" s="99" t="n"/>
      <c r="J33" s="340" t="n"/>
      <c r="K33" s="341" t="n"/>
      <c r="L33" s="329">
        <f>IF(A33="U",(G33-F33)+(I33-H33)+(K33-J33),"NÃO ÚTIL")</f>
        <v/>
      </c>
      <c r="M33" s="330">
        <f>IF(A33="U",L7,"NÃO ÚTIL")</f>
        <v/>
      </c>
      <c r="N33" s="331">
        <f>IF(A33="U",(L33-M33),"NÃO ÚTIL")</f>
        <v/>
      </c>
      <c r="O33" s="47" t="n"/>
      <c r="P33" s="332">
        <f>IF(N33="não útil",0,N33)</f>
        <v/>
      </c>
      <c r="Q33" s="337">
        <f>P33+Q32</f>
        <v/>
      </c>
      <c r="R33" s="332">
        <f>Q33+$Q$4</f>
        <v/>
      </c>
      <c r="S33" s="47">
        <f>IF(B33=T33,"HOJE",".")</f>
        <v/>
      </c>
      <c r="T33" s="62">
        <f>TODAY()</f>
        <v/>
      </c>
      <c r="U33" s="332">
        <f>IF(S33="HOJE",R33,0)</f>
        <v/>
      </c>
      <c r="V33" s="47" t="n"/>
    </row>
    <row r="34" ht="16.5" customHeight="1" thickBot="1">
      <c r="A34" s="17">
        <f>IF(OR(C34=2,C34=8),"F","U")</f>
        <v/>
      </c>
      <c r="B34" s="46">
        <f>B33+1</f>
        <v/>
      </c>
      <c r="C34" s="393">
        <f>WEEKDAY(B34)+1</f>
        <v/>
      </c>
      <c r="D34" s="305" t="n"/>
      <c r="E34" s="296" t="n"/>
      <c r="F34" s="97" t="n"/>
      <c r="G34" s="98" t="n"/>
      <c r="H34" s="98" t="n"/>
      <c r="I34" s="99" t="n"/>
      <c r="J34" s="338" t="n"/>
      <c r="K34" s="345" t="n"/>
      <c r="L34" s="329">
        <f>IF(A34="U",(G34-F34)+(I34-H34)+(K34-J34),"NÃO ÚTIL")</f>
        <v/>
      </c>
      <c r="M34" s="330">
        <f>IF(A34="U",L7,"NÃO ÚTIL")</f>
        <v/>
      </c>
      <c r="N34" s="331">
        <f>IF(A34="U",(L34-M34),"NÃO ÚTIL")</f>
        <v/>
      </c>
      <c r="O34" s="47" t="n"/>
      <c r="P34" s="332">
        <f>IF(N34="não útil",0,N34)</f>
        <v/>
      </c>
      <c r="Q34" s="337">
        <f>P34+Q33</f>
        <v/>
      </c>
      <c r="R34" s="332">
        <f>Q34+$Q$4</f>
        <v/>
      </c>
      <c r="S34" s="47">
        <f>IF(B34=T34,"HOJE",".")</f>
        <v/>
      </c>
      <c r="T34" s="62">
        <f>TODAY()</f>
        <v/>
      </c>
      <c r="U34" s="332">
        <f>IF(S34="HOJE",R34,0)</f>
        <v/>
      </c>
      <c r="V34" s="47" t="n"/>
    </row>
    <row r="35" ht="16.5" customHeight="1" thickBot="1">
      <c r="A35" s="17">
        <f>IF(OR(C35=2,C35=8),"F","U")</f>
        <v/>
      </c>
      <c r="B35" s="46">
        <f>B34+1</f>
        <v/>
      </c>
      <c r="C35" s="393">
        <f>WEEKDAY(B35)+1</f>
        <v/>
      </c>
      <c r="D35" s="305" t="n"/>
      <c r="E35" s="296" t="n"/>
      <c r="F35" s="95" t="n"/>
      <c r="G35" s="96" t="n"/>
      <c r="H35" s="96" t="n"/>
      <c r="I35" s="96" t="n"/>
      <c r="J35" s="338" t="n"/>
      <c r="K35" s="339" t="n"/>
      <c r="L35" s="329">
        <f>IF(A35="U",(G35-F35)+(I35-H35)+(K35-J35),"NÃO ÚTIL")</f>
        <v/>
      </c>
      <c r="M35" s="330">
        <f>IF(A35="U",L7,"NÃO ÚTIL")</f>
        <v/>
      </c>
      <c r="N35" s="331">
        <f>IF(A35="U",(L35-M35),"NÃO ÚTIL")</f>
        <v/>
      </c>
      <c r="O35" s="47" t="n"/>
      <c r="P35" s="332">
        <f>IF(N35="não útil",0,N35)</f>
        <v/>
      </c>
      <c r="Q35" s="337">
        <f>P35+Q34</f>
        <v/>
      </c>
      <c r="R35" s="332">
        <f>Q35+$Q$4</f>
        <v/>
      </c>
      <c r="S35" s="47">
        <f>IF(B35=T35,"HOJE",".")</f>
        <v/>
      </c>
      <c r="T35" s="62">
        <f>TODAY()</f>
        <v/>
      </c>
      <c r="U35" s="332">
        <f>IF(S35="HOJE",R35,0)</f>
        <v/>
      </c>
      <c r="V35" s="47" t="n"/>
    </row>
    <row r="36" ht="16.5" customHeight="1" thickBot="1">
      <c r="A36" s="17">
        <f>IF(OR(C36=2,C36=8),"F","U")</f>
        <v/>
      </c>
      <c r="B36" s="46">
        <f>B35+1</f>
        <v/>
      </c>
      <c r="C36" s="393">
        <f>WEEKDAY(B36)+1</f>
        <v/>
      </c>
      <c r="D36" s="305" t="n"/>
      <c r="E36" s="296" t="n"/>
      <c r="F36" s="95" t="n"/>
      <c r="G36" s="96" t="n"/>
      <c r="H36" s="96" t="n"/>
      <c r="I36" s="96" t="n"/>
      <c r="J36" s="335" t="n"/>
      <c r="K36" s="336" t="n"/>
      <c r="L36" s="329">
        <f>IF(A36="U",(G36-F36)+(I36-H36)+(K36-J36),"NÃO ÚTIL")</f>
        <v/>
      </c>
      <c r="M36" s="330">
        <f>IF(A36="U",L7,"NÃO ÚTIL")</f>
        <v/>
      </c>
      <c r="N36" s="331">
        <f>IF(A36="U",(L36-M36),"NÃO ÚTIL")</f>
        <v/>
      </c>
      <c r="O36" s="47" t="n"/>
      <c r="P36" s="332">
        <f>IF(N36="não útil",0,N36)</f>
        <v/>
      </c>
      <c r="Q36" s="337">
        <f>P36+Q35</f>
        <v/>
      </c>
      <c r="R36" s="332">
        <f>Q36+$Q$4</f>
        <v/>
      </c>
      <c r="S36" s="47">
        <f>IF(B36=T36,"HOJE",".")</f>
        <v/>
      </c>
      <c r="T36" s="62">
        <f>TODAY()</f>
        <v/>
      </c>
      <c r="U36" s="332">
        <f>IF(S36="HOJE",R36,0)</f>
        <v/>
      </c>
      <c r="V36" s="47" t="n"/>
    </row>
    <row r="37" ht="16.5" customHeight="1" thickBot="1">
      <c r="A37" s="17">
        <f>IF(OR(C37=2,C37=8),"F","U")</f>
        <v/>
      </c>
      <c r="B37" s="46">
        <f>B36+1</f>
        <v/>
      </c>
      <c r="C37" s="393">
        <f>WEEKDAY(B37)+1</f>
        <v/>
      </c>
      <c r="D37" s="305" t="n"/>
      <c r="E37" s="296" t="n"/>
      <c r="F37" s="97" t="n"/>
      <c r="G37" s="98" t="n"/>
      <c r="H37" s="98" t="n"/>
      <c r="I37" s="99" t="n"/>
      <c r="J37" s="338" t="n"/>
      <c r="K37" s="345" t="n"/>
      <c r="L37" s="329">
        <f>IF(A37="U",(G37-F37)+(I37-H37)+(K37-J37),"NÃO ÚTIL")</f>
        <v/>
      </c>
      <c r="M37" s="330">
        <f>IF(A37="U",L7,"NÃO ÚTIL")</f>
        <v/>
      </c>
      <c r="N37" s="331">
        <f>IF(A37="U",(L37-M37),"NÃO ÚTIL")</f>
        <v/>
      </c>
      <c r="O37" s="47" t="n"/>
      <c r="P37" s="332">
        <f>IF(N37="não útil",0,N37)</f>
        <v/>
      </c>
      <c r="Q37" s="337">
        <f>P37+Q36</f>
        <v/>
      </c>
      <c r="R37" s="332">
        <f>Q37+$Q$4</f>
        <v/>
      </c>
      <c r="S37" s="47">
        <f>IF(B37=T37,"HOJE",".")</f>
        <v/>
      </c>
      <c r="T37" s="62">
        <f>TODAY()</f>
        <v/>
      </c>
      <c r="U37" s="332">
        <f>IF(S37="HOJE",R37,0)</f>
        <v/>
      </c>
      <c r="V37" s="47" t="n"/>
    </row>
    <row r="38" ht="16.5" customHeight="1" thickBot="1">
      <c r="A38" s="17">
        <f>IF(OR(C38=2,C38=8),"F","U")</f>
        <v/>
      </c>
      <c r="B38" s="46">
        <f>B37+1</f>
        <v/>
      </c>
      <c r="C38" s="393">
        <f>WEEKDAY(B38)+1</f>
        <v/>
      </c>
      <c r="D38" s="305" t="n"/>
      <c r="E38" s="296" t="n"/>
      <c r="F38" s="97" t="n"/>
      <c r="G38" s="98" t="n"/>
      <c r="H38" s="98" t="n"/>
      <c r="I38" s="99" t="n"/>
      <c r="J38" s="340" t="n"/>
      <c r="K38" s="345" t="n"/>
      <c r="L38" s="329">
        <f>IF(A38="U",(G38-F38)+(I38-H38)+(K38-J38),"NÃO ÚTIL")</f>
        <v/>
      </c>
      <c r="M38" s="330">
        <f>IF(A38="U",L7,"NÃO ÚTIL")</f>
        <v/>
      </c>
      <c r="N38" s="331">
        <f>IF(A38="U",(L38-M38),"NÃO ÚTIL")</f>
        <v/>
      </c>
      <c r="O38" s="47" t="n"/>
      <c r="P38" s="332">
        <f>IF(N38="não útil",0,N38)</f>
        <v/>
      </c>
      <c r="Q38" s="337">
        <f>P38+Q37</f>
        <v/>
      </c>
      <c r="R38" s="332">
        <f>Q38+$Q$4</f>
        <v/>
      </c>
      <c r="S38" s="47">
        <f>IF(B38=T38,"HOJE",".")</f>
        <v/>
      </c>
      <c r="T38" s="62">
        <f>TODAY()</f>
        <v/>
      </c>
      <c r="U38" s="332">
        <f>IF(S38="HOJE",R38,0)</f>
        <v/>
      </c>
      <c r="V38" s="47" t="n"/>
    </row>
    <row r="39" ht="16.5" customHeight="1" thickBot="1">
      <c r="A39" s="17">
        <f>IF(OR(C39=2,C39=8),"F","U")</f>
        <v/>
      </c>
      <c r="B39" s="46">
        <f>B38+1</f>
        <v/>
      </c>
      <c r="C39" s="393">
        <f>WEEKDAY(B39)+1</f>
        <v/>
      </c>
      <c r="D39" s="305" t="n"/>
      <c r="E39" s="296" t="n"/>
      <c r="F39" s="97" t="n"/>
      <c r="G39" s="98" t="n"/>
      <c r="H39" s="98" t="n"/>
      <c r="I39" s="99" t="n"/>
      <c r="J39" s="377" t="n"/>
      <c r="K39" s="339" t="n"/>
      <c r="L39" s="329">
        <f>IF(A39="U",(G39-F39)+(I39-H39)+(K39-J39),"NÃO ÚTIL")</f>
        <v/>
      </c>
      <c r="M39" s="330">
        <f>IF(A39="U",L7,"NÃO ÚTIL")</f>
        <v/>
      </c>
      <c r="N39" s="331">
        <f>IF(A39="U",(L39-M39),"NÃO ÚTIL")</f>
        <v/>
      </c>
      <c r="O39" s="47" t="n"/>
      <c r="P39" s="332">
        <f>IF(N39="não útil",0,N39)</f>
        <v/>
      </c>
      <c r="Q39" s="337">
        <f>P39+Q38</f>
        <v/>
      </c>
      <c r="R39" s="332">
        <f>Q39+$Q$4</f>
        <v/>
      </c>
      <c r="S39" s="47">
        <f>IF(B39=T39,"HOJE",".")</f>
        <v/>
      </c>
      <c r="T39" s="62">
        <f>TODAY()</f>
        <v/>
      </c>
      <c r="U39" s="332">
        <f>IF(S39="HOJE",R39,0)</f>
        <v/>
      </c>
      <c r="V39" s="47" t="n"/>
    </row>
    <row r="40" ht="16.5" customHeight="1" thickBot="1">
      <c r="A40" s="17">
        <f>IF(OR(C40=2,C40=8),"F","U")</f>
        <v/>
      </c>
      <c r="B40" s="46">
        <f>B39+1</f>
        <v/>
      </c>
      <c r="C40" s="393">
        <f>WEEKDAY(B40)+1</f>
        <v/>
      </c>
      <c r="D40" s="305" t="n"/>
      <c r="E40" s="296" t="n"/>
      <c r="F40" s="97" t="n"/>
      <c r="G40" s="98" t="n"/>
      <c r="H40" s="98" t="n"/>
      <c r="I40" s="99" t="n"/>
      <c r="J40" s="378" t="n"/>
      <c r="K40" s="341" t="n"/>
      <c r="L40" s="329">
        <f>IF(A40="U",(G40-F40)+(I40-H40)+(K40-J40),"NÃO ÚTIL")</f>
        <v/>
      </c>
      <c r="M40" s="330">
        <f>IF(A40="U",L7,"NÃO ÚTIL")</f>
        <v/>
      </c>
      <c r="N40" s="331">
        <f>IF(A40="U",(L40-M40),"NÃO ÚTIL")</f>
        <v/>
      </c>
      <c r="O40" s="47" t="n"/>
      <c r="P40" s="332">
        <f>IF(N40="não útil",0,N40)</f>
        <v/>
      </c>
      <c r="Q40" s="337">
        <f>P40+Q39</f>
        <v/>
      </c>
      <c r="R40" s="332">
        <f>Q40+$Q$4</f>
        <v/>
      </c>
      <c r="S40" s="47">
        <f>IF(B40=T40,"HOJE",".")</f>
        <v/>
      </c>
      <c r="T40" s="62">
        <f>TODAY()</f>
        <v/>
      </c>
      <c r="U40" s="332">
        <f>IF(S40="HOJE",R40,0)</f>
        <v/>
      </c>
      <c r="V40" s="47" t="n"/>
    </row>
    <row r="41" ht="16.5" customHeight="1" thickBot="1">
      <c r="A41" s="17">
        <f>IF(OR(C41=2,C41=8),"F","U")</f>
        <v/>
      </c>
      <c r="B41" s="46">
        <f>B40+1</f>
        <v/>
      </c>
      <c r="C41" s="393">
        <f>WEEKDAY(B41)+1</f>
        <v/>
      </c>
      <c r="D41" s="305" t="n"/>
      <c r="E41" s="296" t="n"/>
      <c r="F41" s="97" t="n"/>
      <c r="G41" s="98" t="n"/>
      <c r="H41" s="98" t="n"/>
      <c r="I41" s="99" t="n"/>
      <c r="J41" s="377" t="n"/>
      <c r="K41" s="339" t="n"/>
      <c r="L41" s="329">
        <f>IF(A41="U",(G41-F41)+(I41-H41)+(K41-J41),"NÃO ÚTIL")</f>
        <v/>
      </c>
      <c r="M41" s="330">
        <f>IF(A41="U",L7,"NÃO ÚTIL")</f>
        <v/>
      </c>
      <c r="N41" s="331">
        <f>IF(A41="U",(L41-M41),"NÃO ÚTIL")</f>
        <v/>
      </c>
      <c r="O41" s="47" t="n"/>
      <c r="P41" s="332">
        <f>IF(N41="não útil",0,N41)</f>
        <v/>
      </c>
      <c r="Q41" s="337">
        <f>P41+Q40</f>
        <v/>
      </c>
      <c r="R41" s="332">
        <f>Q41+$Q$4</f>
        <v/>
      </c>
      <c r="S41" s="47">
        <f>IF(B41=T41,"HOJE",".")</f>
        <v/>
      </c>
      <c r="T41" s="62">
        <f>TODAY()</f>
        <v/>
      </c>
      <c r="U41" s="332">
        <f>IF(S41="HOJE",R41,0)</f>
        <v/>
      </c>
      <c r="V41" s="47" t="n"/>
    </row>
    <row r="42" ht="16.5" customHeight="1" thickBot="1">
      <c r="A42" s="17">
        <f>IF(OR(C42=2,C42=8),"F","U")</f>
        <v/>
      </c>
      <c r="B42" s="46">
        <f>B41+1</f>
        <v/>
      </c>
      <c r="C42" s="393">
        <f>WEEKDAY(B42)+1</f>
        <v/>
      </c>
      <c r="D42" s="305" t="n"/>
      <c r="E42" s="296" t="n"/>
      <c r="F42" s="95" t="n"/>
      <c r="G42" s="96" t="n"/>
      <c r="H42" s="96" t="n"/>
      <c r="I42" s="96" t="n"/>
      <c r="J42" s="377" t="n"/>
      <c r="K42" s="341" t="n"/>
      <c r="L42" s="329">
        <f>IF(A42="U",(G42-F42)+(I42-H42)+(K42-J42),"NÃO ÚTIL")</f>
        <v/>
      </c>
      <c r="M42" s="330">
        <f>IF(A42="U",L7,"NÃO ÚTIL")</f>
        <v/>
      </c>
      <c r="N42" s="331">
        <f>IF(A42="U",(L42-M42),"NÃO ÚTIL")</f>
        <v/>
      </c>
      <c r="O42" s="47" t="n"/>
      <c r="P42" s="332">
        <f>IF(N42="não útil",0,N42)</f>
        <v/>
      </c>
      <c r="Q42" s="337">
        <f>P42+Q41</f>
        <v/>
      </c>
      <c r="R42" s="332">
        <f>Q42+$Q$4</f>
        <v/>
      </c>
      <c r="S42" s="47">
        <f>IF(B42=T42,"HOJE",".")</f>
        <v/>
      </c>
      <c r="T42" s="62">
        <f>TODAY()</f>
        <v/>
      </c>
      <c r="U42" s="332">
        <f>IF(S42="HOJE",R42,0)</f>
        <v/>
      </c>
      <c r="V42" s="47" t="n"/>
    </row>
    <row r="43" ht="16.5" customHeight="1" thickBot="1">
      <c r="A43" s="17">
        <f>IF(OR(C43=2,C43=8),"F","U")</f>
        <v/>
      </c>
      <c r="B43" s="46">
        <f>B42+1</f>
        <v/>
      </c>
      <c r="C43" s="393">
        <f>WEEKDAY(B43)+1</f>
        <v/>
      </c>
      <c r="D43" s="305" t="n"/>
      <c r="E43" s="296" t="n"/>
      <c r="F43" s="95" t="n"/>
      <c r="G43" s="96" t="n"/>
      <c r="H43" s="96" t="n"/>
      <c r="I43" s="96" t="n"/>
      <c r="J43" s="377" t="n"/>
      <c r="K43" s="339" t="n"/>
      <c r="L43" s="329">
        <f>IF(A43="U",(G43-F43)+(I43-H43)+(K43-J43),"NÃO ÚTIL")</f>
        <v/>
      </c>
      <c r="M43" s="330">
        <f>IF(A43="U",L7,"NÃO ÚTIL")</f>
        <v/>
      </c>
      <c r="N43" s="331">
        <f>IF(A43="U",(L43-M43),"NÃO ÚTIL")</f>
        <v/>
      </c>
      <c r="O43" s="47" t="n"/>
      <c r="P43" s="332">
        <f>IF(N43="não útil",0,N43)</f>
        <v/>
      </c>
      <c r="Q43" s="337">
        <f>P43+Q42</f>
        <v/>
      </c>
      <c r="R43" s="332">
        <f>Q43+$Q$4</f>
        <v/>
      </c>
      <c r="S43" s="47">
        <f>IF(B43=T43,"HOJE",".")</f>
        <v/>
      </c>
      <c r="T43" s="62">
        <f>TODAY()</f>
        <v/>
      </c>
      <c r="U43" s="332">
        <f>IF(S43="HOJE",R43,0)</f>
        <v/>
      </c>
      <c r="V43" s="47" t="n"/>
    </row>
    <row r="44" ht="16.5" customHeight="1" thickBot="1">
      <c r="A44" s="17">
        <f>IF(OR(C44=2,C44=8),"F","U")</f>
        <v/>
      </c>
      <c r="B44" s="46">
        <f>B43+1</f>
        <v/>
      </c>
      <c r="C44" s="393">
        <f>WEEKDAY(B44)+1</f>
        <v/>
      </c>
      <c r="D44" s="305" t="n"/>
      <c r="E44" s="296" t="n"/>
      <c r="F44" s="100" t="n"/>
      <c r="G44" s="101" t="n"/>
      <c r="H44" s="101" t="n"/>
      <c r="I44" s="102" t="n"/>
      <c r="J44" s="377" t="n"/>
      <c r="K44" s="339" t="n"/>
      <c r="L44" s="329">
        <f>IF(A44="U",(G44-F44)+(I44-H44)+(K44-J44),"NÃO ÚTIL")</f>
        <v/>
      </c>
      <c r="M44" s="330">
        <f>IF(A44="U",L7,"NÃO ÚTIL")</f>
        <v/>
      </c>
      <c r="N44" s="331">
        <f>IF(A44="U",(L44-M44),"NÃO ÚTIL")</f>
        <v/>
      </c>
      <c r="O44" s="47" t="n"/>
      <c r="P44" s="332">
        <f>IF(N44="não útil",0,N44)</f>
        <v/>
      </c>
      <c r="Q44" s="337">
        <f>P44+Q43</f>
        <v/>
      </c>
      <c r="R44" s="332">
        <f>Q44+$Q$4</f>
        <v/>
      </c>
      <c r="S44" s="47">
        <f>IF(B44=T44,"HOJE",".")</f>
        <v/>
      </c>
      <c r="T44" s="62">
        <f>TODAY()</f>
        <v/>
      </c>
      <c r="U44" s="332">
        <f>IF(S44="HOJE",R44,0)</f>
        <v/>
      </c>
      <c r="V44" s="47" t="n"/>
    </row>
    <row r="45" ht="23.25" customHeight="1" thickBot="1">
      <c r="A45" s="346" t="inlineStr">
        <is>
          <t>TOTAL MÊS:</t>
        </is>
      </c>
      <c r="B45" s="347" t="n"/>
      <c r="C45" s="347" t="n"/>
      <c r="D45" s="347" t="n"/>
      <c r="E45" s="347" t="n"/>
      <c r="F45" s="347" t="n"/>
      <c r="G45" s="347" t="n"/>
      <c r="H45" s="347" t="n"/>
      <c r="I45" s="347" t="n"/>
      <c r="J45" s="347" t="n"/>
      <c r="K45" s="348" t="n"/>
      <c r="L45" s="349">
        <f>SUM(L14:L44)</f>
        <v/>
      </c>
      <c r="M45" s="349">
        <f>SUM(M14:M44)</f>
        <v/>
      </c>
      <c r="N45" s="350">
        <f>SUM(N14:N44)</f>
        <v/>
      </c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 ht="12" customHeight="1" thickBot="1">
      <c r="A46" s="247" t="inlineStr">
        <is>
          <t>OBS:</t>
        </is>
      </c>
      <c r="B46" s="292" t="n"/>
      <c r="C46" s="160" t="n"/>
      <c r="D46" s="292" t="n"/>
      <c r="E46" s="292" t="n"/>
      <c r="F46" s="292" t="n"/>
      <c r="G46" s="292" t="n"/>
      <c r="H46" s="292" t="n"/>
      <c r="I46" s="293" t="n"/>
      <c r="J46" s="161" t="n"/>
      <c r="K46" s="347" t="n"/>
      <c r="L46" s="347" t="n"/>
      <c r="M46" s="347" t="n"/>
      <c r="N46" s="352" t="inlineStr">
        <is>
          <t>HORA (S)</t>
        </is>
      </c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 ht="12" customHeight="1" thickBot="1">
      <c r="A47" s="106" t="n"/>
      <c r="B47" s="297" t="n"/>
      <c r="C47" s="297" t="n"/>
      <c r="D47" s="297" t="n"/>
      <c r="E47" s="297" t="n"/>
      <c r="F47" s="297" t="n"/>
      <c r="G47" s="297" t="n"/>
      <c r="H47" s="297" t="n"/>
      <c r="I47" s="298" t="n"/>
      <c r="J47" s="353" t="inlineStr">
        <is>
          <t>CARGA HORÁRIA TRABAHADA (MÊS)</t>
        </is>
      </c>
      <c r="K47" s="354" t="n"/>
      <c r="L47" s="355" t="n"/>
      <c r="M47" s="356">
        <f>L45</f>
        <v/>
      </c>
      <c r="N47" s="355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 ht="12" customHeight="1" thickBot="1">
      <c r="A48" s="106" t="n"/>
      <c r="B48" s="297" t="n"/>
      <c r="C48" s="297" t="n"/>
      <c r="D48" s="297" t="n"/>
      <c r="E48" s="297" t="n"/>
      <c r="F48" s="297" t="n"/>
      <c r="G48" s="297" t="n"/>
      <c r="H48" s="297" t="n"/>
      <c r="I48" s="298" t="n"/>
      <c r="J48" s="322" t="n"/>
      <c r="K48" s="322" t="n"/>
      <c r="L48" s="318" t="n"/>
      <c r="M48" s="321" t="n"/>
      <c r="N48" s="318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12" customHeight="1" thickBot="1">
      <c r="A49" s="106" t="n"/>
      <c r="B49" s="297" t="n"/>
      <c r="C49" s="297" t="n"/>
      <c r="D49" s="297" t="n"/>
      <c r="E49" s="297" t="n"/>
      <c r="F49" s="297" t="n"/>
      <c r="G49" s="297" t="n"/>
      <c r="H49" s="297" t="n"/>
      <c r="I49" s="298" t="n"/>
      <c r="J49" s="353" t="inlineStr">
        <is>
          <t>CARGA HORÁRIA PREVISTA (MÊS)</t>
        </is>
      </c>
      <c r="K49" s="354" t="n"/>
      <c r="L49" s="355" t="n"/>
      <c r="M49" s="356">
        <f>M45</f>
        <v/>
      </c>
      <c r="N49" s="355" t="n"/>
      <c r="O49" s="47" t="n"/>
      <c r="P49" s="47" t="n"/>
      <c r="Q49" s="47" t="n"/>
      <c r="R49" s="47" t="n"/>
      <c r="S49" s="47" t="n"/>
      <c r="T49" s="47" t="n"/>
      <c r="U49" s="47" t="n"/>
      <c r="V49" s="47" t="n"/>
    </row>
    <row r="50" ht="12" customHeight="1" thickBot="1">
      <c r="A50" s="106" t="n"/>
      <c r="B50" s="297" t="n"/>
      <c r="C50" s="297" t="n"/>
      <c r="D50" s="297" t="n"/>
      <c r="E50" s="297" t="n"/>
      <c r="F50" s="297" t="n"/>
      <c r="G50" s="297" t="n"/>
      <c r="H50" s="297" t="n"/>
      <c r="I50" s="298" t="n"/>
      <c r="J50" s="322" t="n"/>
      <c r="K50" s="322" t="n"/>
      <c r="L50" s="318" t="n"/>
      <c r="M50" s="321" t="n"/>
      <c r="N50" s="318" t="n"/>
      <c r="O50" s="47" t="n"/>
      <c r="P50" s="47" t="n"/>
      <c r="Q50" s="47" t="n"/>
      <c r="R50" s="47" t="n"/>
      <c r="S50" s="47" t="n"/>
      <c r="T50" s="47" t="n"/>
      <c r="U50" s="47" t="n"/>
      <c r="V50" s="47" t="n"/>
    </row>
    <row r="51" ht="12" customHeight="1" thickBot="1">
      <c r="A51" s="106" t="n"/>
      <c r="B51" s="297" t="n"/>
      <c r="C51" s="297" t="n"/>
      <c r="D51" s="297" t="n"/>
      <c r="E51" s="297" t="n"/>
      <c r="F51" s="297" t="n"/>
      <c r="G51" s="297" t="n"/>
      <c r="H51" s="297" t="n"/>
      <c r="I51" s="298" t="n"/>
      <c r="J51" s="357" t="inlineStr">
        <is>
          <t>SALDO CARGA HORÁRIA (MÊS)</t>
        </is>
      </c>
      <c r="K51" s="354" t="n"/>
      <c r="L51" s="355" t="n"/>
      <c r="M51" s="356">
        <f>N45</f>
        <v/>
      </c>
      <c r="N51" s="355" t="n"/>
      <c r="O51" s="47" t="n"/>
      <c r="P51" s="47" t="n"/>
      <c r="Q51" s="47" t="n"/>
      <c r="R51" s="47" t="n"/>
      <c r="S51" s="47" t="n"/>
      <c r="T51" s="47" t="n"/>
      <c r="U51" s="47" t="n"/>
      <c r="V51" s="47" t="n"/>
    </row>
    <row r="52" ht="12" customHeight="1" thickBot="1">
      <c r="A52" s="106" t="n"/>
      <c r="B52" s="297" t="n"/>
      <c r="C52" s="297" t="n"/>
      <c r="D52" s="297" t="n"/>
      <c r="E52" s="297" t="n"/>
      <c r="F52" s="297" t="n"/>
      <c r="G52" s="297" t="n"/>
      <c r="H52" s="297" t="n"/>
      <c r="I52" s="298" t="n"/>
      <c r="J52" s="322" t="n"/>
      <c r="K52" s="322" t="n"/>
      <c r="L52" s="318" t="n"/>
      <c r="M52" s="321" t="n"/>
      <c r="N52" s="318" t="n"/>
      <c r="O52" s="47" t="n"/>
      <c r="P52" s="47" t="n"/>
      <c r="Q52" s="47" t="n"/>
      <c r="R52" s="47" t="n"/>
      <c r="S52" s="47" t="n"/>
      <c r="T52" s="47" t="n"/>
      <c r="U52" s="47" t="n"/>
      <c r="V52" s="47" t="n"/>
    </row>
    <row r="53" ht="12" customHeight="1">
      <c r="A53" s="106" t="n"/>
      <c r="B53" s="297" t="n"/>
      <c r="C53" s="297" t="n"/>
      <c r="D53" s="297" t="n"/>
      <c r="E53" s="297" t="n"/>
      <c r="F53" s="297" t="n"/>
      <c r="G53" s="297" t="n"/>
      <c r="H53" s="297" t="n"/>
      <c r="I53" s="298" t="n"/>
      <c r="J53" s="357" t="inlineStr">
        <is>
          <t>SALDO MÊS ANTERIOR</t>
        </is>
      </c>
      <c r="K53" s="354" t="n"/>
      <c r="L53" s="355" t="n"/>
      <c r="M53" s="356">
        <f>JUN!M54</f>
        <v/>
      </c>
      <c r="N53" s="355" t="n"/>
      <c r="O53" s="47" t="n"/>
      <c r="P53" s="47" t="n"/>
      <c r="Q53" s="47" t="n"/>
      <c r="R53" s="47" t="n"/>
      <c r="S53" s="47" t="n"/>
      <c r="T53" s="47" t="n"/>
      <c r="U53" s="47" t="n"/>
      <c r="V53" s="47" t="n"/>
    </row>
    <row r="54" ht="12" customHeight="1" thickBot="1">
      <c r="A54" s="106" t="n"/>
      <c r="B54" s="297" t="n"/>
      <c r="C54" s="297" t="n"/>
      <c r="D54" s="297" t="n"/>
      <c r="E54" s="297" t="n"/>
      <c r="F54" s="297" t="n"/>
      <c r="G54" s="297" t="n"/>
      <c r="H54" s="297" t="n"/>
      <c r="I54" s="298" t="n"/>
      <c r="J54" s="322" t="n"/>
      <c r="K54" s="322" t="n"/>
      <c r="L54" s="318" t="n"/>
      <c r="M54" s="321" t="n"/>
      <c r="N54" s="318" t="n"/>
      <c r="O54" s="47" t="n"/>
      <c r="P54" s="47" t="n"/>
      <c r="Q54" s="47" t="n"/>
      <c r="R54" s="47" t="n"/>
      <c r="S54" s="47" t="n"/>
      <c r="T54" s="47" t="n"/>
      <c r="U54" s="47" t="n"/>
      <c r="V54" s="47" t="n"/>
    </row>
    <row r="55" ht="12" customHeight="1">
      <c r="A55" s="106" t="n"/>
      <c r="B55" s="297" t="n"/>
      <c r="C55" s="297" t="n"/>
      <c r="D55" s="297" t="n"/>
      <c r="E55" s="297" t="n"/>
      <c r="F55" s="297" t="n"/>
      <c r="G55" s="297" t="n"/>
      <c r="H55" s="297" t="n"/>
      <c r="I55" s="298" t="n"/>
      <c r="J55" s="362" t="inlineStr">
        <is>
          <t>SALDO TOTAL</t>
        </is>
      </c>
      <c r="K55" s="354" t="n"/>
      <c r="L55" s="355" t="n"/>
      <c r="M55" s="356">
        <f>SUM(M51:N54)</f>
        <v/>
      </c>
      <c r="N55" s="355" t="n"/>
      <c r="O55" s="47" t="n"/>
      <c r="P55" s="47" t="n"/>
      <c r="Q55" s="47" t="n"/>
      <c r="R55" s="47" t="n"/>
      <c r="S55" s="47" t="n"/>
      <c r="T55" s="47" t="n"/>
      <c r="U55" s="47" t="n"/>
      <c r="V55" s="47" t="n"/>
    </row>
    <row r="56" ht="12" customHeight="1" thickBot="1">
      <c r="A56" s="106" t="n"/>
      <c r="B56" s="297" t="n"/>
      <c r="C56" s="297" t="n"/>
      <c r="D56" s="297" t="n"/>
      <c r="E56" s="297" t="n"/>
      <c r="F56" s="297" t="n"/>
      <c r="G56" s="297" t="n"/>
      <c r="H56" s="297" t="n"/>
      <c r="I56" s="298" t="n"/>
      <c r="J56" s="322" t="n"/>
      <c r="K56" s="322" t="n"/>
      <c r="L56" s="318" t="n"/>
      <c r="M56" s="321" t="n"/>
      <c r="N56" s="318" t="n"/>
      <c r="O56" s="47" t="n"/>
      <c r="P56" s="47" t="n"/>
      <c r="Q56" s="47" t="n"/>
      <c r="R56" s="47" t="n"/>
      <c r="S56" s="47" t="n"/>
      <c r="T56" s="47" t="n"/>
      <c r="U56" s="47" t="n"/>
      <c r="V56" s="47" t="n"/>
    </row>
    <row r="57" ht="12" customHeight="1" thickBot="1">
      <c r="A57" s="106" t="n"/>
      <c r="B57" s="297" t="n"/>
      <c r="C57" s="297" t="n"/>
      <c r="D57" s="297" t="n"/>
      <c r="E57" s="297" t="n"/>
      <c r="F57" s="297" t="n"/>
      <c r="G57" s="297" t="n"/>
      <c r="H57" s="297" t="n"/>
      <c r="I57" s="298" t="n"/>
      <c r="J57" s="357" t="inlineStr">
        <is>
          <t>SALDO: CREDOR? DEVEDOR?</t>
        </is>
      </c>
      <c r="K57" s="354" t="n"/>
      <c r="L57" s="355" t="n"/>
      <c r="M57" s="363">
        <f>IF(M55&lt;0,"DVEEDOR","CREDOR")</f>
        <v/>
      </c>
      <c r="N57" s="355" t="n"/>
      <c r="O57" s="47" t="n"/>
      <c r="P57" s="47" t="n"/>
      <c r="Q57" s="47" t="n"/>
      <c r="R57" s="47" t="n"/>
      <c r="S57" s="47" t="n"/>
      <c r="T57" s="47" t="n"/>
      <c r="U57" s="47" t="n"/>
      <c r="V57" s="47" t="n"/>
    </row>
    <row r="58" ht="12" customHeight="1" thickBot="1">
      <c r="A58" s="106" t="n"/>
      <c r="B58" s="297" t="n"/>
      <c r="C58" s="297" t="n"/>
      <c r="D58" s="297" t="n"/>
      <c r="E58" s="297" t="n"/>
      <c r="F58" s="297" t="n"/>
      <c r="G58" s="297" t="n"/>
      <c r="H58" s="297" t="n"/>
      <c r="I58" s="298" t="n"/>
      <c r="J58" s="322" t="n"/>
      <c r="K58" s="322" t="n"/>
      <c r="L58" s="318" t="n"/>
      <c r="M58" s="321" t="n"/>
      <c r="N58" s="318" t="n"/>
      <c r="O58" s="47" t="n"/>
      <c r="P58" s="47" t="n"/>
      <c r="Q58" s="47" t="n"/>
      <c r="R58" s="47" t="n"/>
      <c r="S58" s="47" t="n"/>
      <c r="T58" s="47" t="n"/>
      <c r="U58" s="47" t="n"/>
      <c r="V58" s="47" t="n"/>
    </row>
    <row r="59" ht="12" customHeight="1">
      <c r="A59" s="106" t="n"/>
      <c r="B59" s="297" t="n"/>
      <c r="C59" s="297" t="n"/>
      <c r="D59" s="297" t="n"/>
      <c r="E59" s="297" t="n"/>
      <c r="F59" s="297" t="n"/>
      <c r="G59" s="297" t="n"/>
      <c r="H59" s="297" t="n"/>
      <c r="I59" s="298" t="n"/>
      <c r="J59" s="260" t="n"/>
      <c r="K59" s="354" t="n"/>
      <c r="L59" s="355" t="n"/>
      <c r="M59" s="364" t="n"/>
      <c r="N59" s="355" t="n"/>
      <c r="O59" s="47" t="n"/>
      <c r="P59" s="47" t="n"/>
      <c r="Q59" s="47" t="n"/>
      <c r="R59" s="47" t="n"/>
      <c r="S59" s="47" t="n"/>
      <c r="T59" s="47" t="n"/>
      <c r="U59" s="47" t="n"/>
      <c r="V59" s="47" t="n"/>
    </row>
    <row r="60" ht="12" customHeight="1" thickBot="1">
      <c r="A60" s="106" t="n"/>
      <c r="B60" s="297" t="n"/>
      <c r="C60" s="297" t="n"/>
      <c r="D60" s="297" t="n"/>
      <c r="E60" s="297" t="n"/>
      <c r="F60" s="297" t="n"/>
      <c r="G60" s="297" t="n"/>
      <c r="H60" s="297" t="n"/>
      <c r="I60" s="298" t="n"/>
      <c r="J60" s="322" t="n"/>
      <c r="K60" s="322" t="n"/>
      <c r="L60" s="318" t="n"/>
      <c r="M60" s="321" t="n"/>
      <c r="N60" s="318" t="n"/>
      <c r="O60" s="47" t="n"/>
      <c r="P60" s="47" t="n"/>
      <c r="Q60" s="47" t="n"/>
      <c r="R60" s="47" t="n"/>
      <c r="S60" s="47" t="n"/>
      <c r="T60" s="47" t="n"/>
      <c r="U60" s="47" t="n"/>
      <c r="V60" s="47" t="n"/>
    </row>
    <row r="61" ht="12" customHeight="1" thickBot="1">
      <c r="A61" s="116" t="n"/>
      <c r="B61" s="312" t="n"/>
      <c r="C61" s="312" t="n"/>
      <c r="D61" s="312" t="n"/>
      <c r="E61" s="312" t="n"/>
      <c r="F61" s="312" t="n"/>
      <c r="G61" s="312" t="n"/>
      <c r="H61" s="312" t="n"/>
      <c r="I61" s="313" t="n"/>
      <c r="J61" s="111" t="n"/>
      <c r="K61" s="322" t="n"/>
      <c r="L61" s="318" t="n"/>
      <c r="M61" s="394" t="n"/>
      <c r="N61" s="318" t="n"/>
      <c r="O61" s="47" t="n"/>
      <c r="P61" s="47" t="n"/>
      <c r="Q61" s="47" t="n"/>
      <c r="R61" s="47" t="n"/>
      <c r="S61" s="47" t="n"/>
      <c r="T61" s="47" t="n"/>
      <c r="U61" s="47" t="n"/>
      <c r="V61" s="47" t="n"/>
    </row>
    <row r="62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104" t="n"/>
      <c r="M62" s="354" t="n"/>
      <c r="N62" s="354" t="n"/>
      <c r="O62" s="47" t="n"/>
      <c r="P62" s="47" t="n"/>
      <c r="Q62" s="47" t="n"/>
      <c r="R62" s="47" t="n"/>
      <c r="S62" s="47" t="n"/>
      <c r="T62" s="47" t="n"/>
      <c r="U62" s="47" t="n"/>
      <c r="V62" s="47" t="n"/>
    </row>
  </sheetData>
  <mergeCells count="94">
    <mergeCell ref="C44:E44"/>
    <mergeCell ref="A12:E13"/>
    <mergeCell ref="C31:E31"/>
    <mergeCell ref="J10:K10"/>
    <mergeCell ref="C40:E40"/>
    <mergeCell ref="A56:I56"/>
    <mergeCell ref="C21:E21"/>
    <mergeCell ref="M57:N58"/>
    <mergeCell ref="A7:B7"/>
    <mergeCell ref="C23:E23"/>
    <mergeCell ref="A53:I53"/>
    <mergeCell ref="R12:S12"/>
    <mergeCell ref="J59:L60"/>
    <mergeCell ref="C18:E18"/>
    <mergeCell ref="J61:L61"/>
    <mergeCell ref="J55:L56"/>
    <mergeCell ref="M49:N50"/>
    <mergeCell ref="C34:E34"/>
    <mergeCell ref="A48:I48"/>
    <mergeCell ref="C42:E42"/>
    <mergeCell ref="A59:I59"/>
    <mergeCell ref="A61:I61"/>
    <mergeCell ref="J47:L48"/>
    <mergeCell ref="C20:E20"/>
    <mergeCell ref="C25:E25"/>
    <mergeCell ref="C8:I8"/>
    <mergeCell ref="A11:B11"/>
    <mergeCell ref="C22:E22"/>
    <mergeCell ref="L8:N8"/>
    <mergeCell ref="J51:L52"/>
    <mergeCell ref="J57:L58"/>
    <mergeCell ref="C39:E39"/>
    <mergeCell ref="A46:B46"/>
    <mergeCell ref="C32:E32"/>
    <mergeCell ref="C38:E38"/>
    <mergeCell ref="A52:I52"/>
    <mergeCell ref="A3:N3"/>
    <mergeCell ref="J49:L50"/>
    <mergeCell ref="A5:N5"/>
    <mergeCell ref="A8:B8"/>
    <mergeCell ref="C15:E15"/>
    <mergeCell ref="F11:H11"/>
    <mergeCell ref="C24:E24"/>
    <mergeCell ref="H12:I12"/>
    <mergeCell ref="C33:E33"/>
    <mergeCell ref="J12:K12"/>
    <mergeCell ref="A49:I49"/>
    <mergeCell ref="A4:N4"/>
    <mergeCell ref="M51:N52"/>
    <mergeCell ref="C26:E26"/>
    <mergeCell ref="C46:I46"/>
    <mergeCell ref="C35:E35"/>
    <mergeCell ref="C16:E16"/>
    <mergeCell ref="L62:N62"/>
    <mergeCell ref="K9:L9"/>
    <mergeCell ref="J46:M46"/>
    <mergeCell ref="C7:I7"/>
    <mergeCell ref="A55:I55"/>
    <mergeCell ref="A45:K45"/>
    <mergeCell ref="K6:N6"/>
    <mergeCell ref="C11:E11"/>
    <mergeCell ref="C36:E36"/>
    <mergeCell ref="A57:I57"/>
    <mergeCell ref="M53:N54"/>
    <mergeCell ref="M47:N48"/>
    <mergeCell ref="C28:E28"/>
    <mergeCell ref="C37:E37"/>
    <mergeCell ref="M59:N60"/>
    <mergeCell ref="A2:N2"/>
    <mergeCell ref="C10:I10"/>
    <mergeCell ref="C30:E30"/>
    <mergeCell ref="C14:E14"/>
    <mergeCell ref="C9:I9"/>
    <mergeCell ref="I11:N11"/>
    <mergeCell ref="P12:Q12"/>
    <mergeCell ref="C41:E41"/>
    <mergeCell ref="A50:I50"/>
    <mergeCell ref="C43:E43"/>
    <mergeCell ref="A6:B6"/>
    <mergeCell ref="F12:G12"/>
    <mergeCell ref="C27:E27"/>
    <mergeCell ref="A47:I47"/>
    <mergeCell ref="J53:L54"/>
    <mergeCell ref="C17:E17"/>
    <mergeCell ref="C6:I6"/>
    <mergeCell ref="C19:E19"/>
    <mergeCell ref="J7:K7"/>
    <mergeCell ref="A58:I58"/>
    <mergeCell ref="M61:N61"/>
    <mergeCell ref="M55:N56"/>
    <mergeCell ref="A51:I51"/>
    <mergeCell ref="A60:I60"/>
    <mergeCell ref="C29:E29"/>
    <mergeCell ref="A54:I54"/>
  </mergeCells>
  <conditionalFormatting sqref="A14:A44">
    <cfRule type="containsText" priority="49" operator="containsText" dxfId="25" stopIfTrue="1" text="F">
      <formula>NOT(ISERROR(SEARCH("F",A14)))</formula>
    </cfRule>
  </conditionalFormatting>
  <conditionalFormatting sqref="C14:E44">
    <cfRule type="cellIs" priority="47" operator="equal" dxfId="11" stopIfTrue="1">
      <formula>2</formula>
    </cfRule>
    <cfRule type="cellIs" priority="48" operator="equal" dxfId="11" stopIfTrue="1">
      <formula>8</formula>
    </cfRule>
  </conditionalFormatting>
  <conditionalFormatting sqref="L45">
    <cfRule type="cellIs" priority="42" operator="equal" dxfId="10" stopIfTrue="1">
      <formula>0</formula>
    </cfRule>
  </conditionalFormatting>
  <conditionalFormatting sqref="L14:M44">
    <cfRule type="cellIs" priority="44" operator="equal" dxfId="10" stopIfTrue="1">
      <formula>0</formula>
    </cfRule>
  </conditionalFormatting>
  <conditionalFormatting sqref="L14:N45">
    <cfRule type="cellIs" priority="43" operator="greaterThan" dxfId="10" stopIfTrue="1">
      <formula>0</formula>
    </cfRule>
    <cfRule type="cellIs" priority="45" operator="lessThan" dxfId="11" stopIfTrue="1">
      <formula>0</formula>
    </cfRule>
  </conditionalFormatting>
  <conditionalFormatting sqref="M47:N48">
    <cfRule type="cellIs" priority="38" operator="equal" dxfId="10" stopIfTrue="1">
      <formula>0</formula>
    </cfRule>
  </conditionalFormatting>
  <conditionalFormatting sqref="M47:N52 M53 M55 M57:N58 M59">
    <cfRule type="cellIs" priority="40" operator="greaterThan" dxfId="10" stopIfTrue="1">
      <formula>0</formula>
    </cfRule>
    <cfRule type="cellIs" priority="41" operator="lessThan" dxfId="11" stopIfTrue="1">
      <formula>0</formula>
    </cfRule>
  </conditionalFormatting>
  <conditionalFormatting sqref="M51:N52 M53 M55">
    <cfRule type="cellIs" priority="39" operator="equal" dxfId="14" stopIfTrue="1">
      <formula>0</formula>
    </cfRule>
  </conditionalFormatting>
  <conditionalFormatting sqref="M57:N58 M59">
    <cfRule type="cellIs" priority="35" operator="equal" dxfId="13" stopIfTrue="1">
      <formula>0</formula>
    </cfRule>
  </conditionalFormatting>
  <conditionalFormatting sqref="N14:N44">
    <cfRule type="cellIs" priority="46" operator="equal" dxfId="10" stopIfTrue="1">
      <formula>0</formula>
    </cfRule>
  </conditionalFormatting>
  <conditionalFormatting sqref="N14:N45">
    <cfRule type="cellIs" priority="50" operator="equal" dxfId="4" stopIfTrue="1">
      <formula>0</formula>
    </cfRule>
  </conditionalFormatting>
  <pageMargins left="0.1181102362204725" right="0.1181102362204725" top="0.5905511811023623" bottom="0.5905511811023623" header="0.3149606299212598" footer="0.3149606299212598"/>
  <pageSetup orientation="portrait" paperSize="9" scale="80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62"/>
  <sheetViews>
    <sheetView workbookViewId="0">
      <selection activeCell="J21" sqref="J21"/>
    </sheetView>
  </sheetViews>
  <sheetFormatPr baseColWidth="8" defaultRowHeight="15"/>
  <cols>
    <col width="3.5703125" customWidth="1" min="4" max="4"/>
    <col width="11.28515625" customWidth="1" min="16" max="16"/>
    <col width="12.140625" customWidth="1" min="19" max="19"/>
    <col hidden="1" width="12.140625" customWidth="1" min="20" max="20"/>
    <col width="12.140625" customWidth="1" min="21" max="21"/>
  </cols>
  <sheetData>
    <row r="1">
      <c r="A1" s="52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4" t="n"/>
    </row>
    <row r="2" ht="15.75" customHeight="1">
      <c r="A2" s="286" t="inlineStr">
        <is>
          <t>GOVERNO DO ESTADO DO ESPÍRITO SANTO</t>
        </is>
      </c>
      <c r="N2" s="287" t="n"/>
    </row>
    <row r="3" ht="19.5" customHeight="1">
      <c r="A3" s="286" t="inlineStr">
        <is>
          <t>SUPERINTENDÊNCIA REGIONAL DE EDUCAÇÃO DE CARAPINA</t>
        </is>
      </c>
      <c r="N3" s="287" t="n"/>
    </row>
    <row r="4" ht="25.5" customHeight="1">
      <c r="A4" s="288" t="inlineStr">
        <is>
          <t>CARTÃO DE PONTO</t>
        </is>
      </c>
      <c r="N4" s="287" t="n"/>
      <c r="Q4" s="289" t="n">
        <v>0</v>
      </c>
      <c r="R4" t="inlineStr">
        <is>
          <t>saldo anterior</t>
        </is>
      </c>
    </row>
    <row r="5" ht="6.75" customHeight="1" thickBot="1">
      <c r="A5" s="290" t="n"/>
      <c r="N5" s="287" t="n"/>
    </row>
    <row r="6" ht="15.75" customHeight="1">
      <c r="A6" s="186" t="inlineStr">
        <is>
          <t xml:space="preserve">NOME: </t>
        </is>
      </c>
      <c r="B6" s="291" t="n"/>
      <c r="C6" s="188">
        <f>JAN!C6:I6</f>
        <v/>
      </c>
      <c r="D6" s="292" t="n"/>
      <c r="E6" s="292" t="n"/>
      <c r="F6" s="292" t="n"/>
      <c r="G6" s="292" t="n"/>
      <c r="H6" s="292" t="n"/>
      <c r="I6" s="293" t="n"/>
      <c r="J6" s="1" t="inlineStr">
        <is>
          <t>MÊS:</t>
        </is>
      </c>
      <c r="K6" s="294" t="n">
        <v>43677</v>
      </c>
      <c r="L6" s="292" t="n"/>
      <c r="M6" s="292" t="n"/>
      <c r="N6" s="293" t="n"/>
    </row>
    <row r="7">
      <c r="A7" s="295" t="inlineStr">
        <is>
          <t>CARGO:</t>
        </is>
      </c>
      <c r="B7" s="296" t="n"/>
      <c r="C7" s="203">
        <f>JAN!C7:I7</f>
        <v/>
      </c>
      <c r="D7" s="297" t="n"/>
      <c r="E7" s="297" t="n"/>
      <c r="F7" s="297" t="n"/>
      <c r="G7" s="297" t="n"/>
      <c r="H7" s="297" t="n"/>
      <c r="I7" s="298" t="n"/>
      <c r="J7" s="299" t="inlineStr">
        <is>
          <t>CH DIÁRIA:</t>
        </is>
      </c>
      <c r="K7" s="296" t="n"/>
      <c r="L7" s="300">
        <f>JAN!L7</f>
        <v/>
      </c>
      <c r="M7" s="301">
        <f>JAN!M7</f>
        <v/>
      </c>
      <c r="N7" s="302">
        <f>JAN!N7</f>
        <v/>
      </c>
    </row>
    <row r="8" ht="16.5" customHeight="1">
      <c r="A8" s="295" t="inlineStr">
        <is>
          <t>FUNÇÃO:</t>
        </is>
      </c>
      <c r="B8" s="296" t="n"/>
      <c r="C8" s="303">
        <f>JAN!C8:I8</f>
        <v/>
      </c>
      <c r="D8" s="297" t="n"/>
      <c r="E8" s="297" t="n"/>
      <c r="F8" s="297" t="n"/>
      <c r="G8" s="297" t="n"/>
      <c r="H8" s="297" t="n"/>
      <c r="I8" s="298" t="n"/>
      <c r="J8" s="4" t="inlineStr">
        <is>
          <t>DIAS ÚTEIS:</t>
        </is>
      </c>
      <c r="K8" s="5" t="n"/>
      <c r="L8" s="304">
        <f>COUNTIF(A14:A43,"U")</f>
        <v/>
      </c>
      <c r="M8" s="305" t="n"/>
      <c r="N8" s="306" t="n"/>
    </row>
    <row r="9" ht="16.5" customHeight="1">
      <c r="A9" s="2" t="inlineStr">
        <is>
          <t>EMPRESA:</t>
        </is>
      </c>
      <c r="B9" s="3" t="n"/>
      <c r="C9" s="129">
        <f>JAN!C9:I9</f>
        <v/>
      </c>
      <c r="D9" s="297" t="n"/>
      <c r="E9" s="297" t="n"/>
      <c r="F9" s="297" t="n"/>
      <c r="G9" s="297" t="n"/>
      <c r="H9" s="297" t="n"/>
      <c r="I9" s="298" t="n"/>
      <c r="J9" s="4" t="inlineStr">
        <is>
          <t>CNPJ:</t>
        </is>
      </c>
      <c r="K9" s="307">
        <f>JAN!K9:L9</f>
        <v/>
      </c>
      <c r="L9" s="296" t="n"/>
      <c r="M9" s="38" t="inlineStr">
        <is>
          <t>EXERCÍCIO:</t>
        </is>
      </c>
      <c r="N9" s="42" t="n">
        <v>2021</v>
      </c>
      <c r="P9" t="inlineStr">
        <is>
          <t>U: DIA ÚTIL</t>
        </is>
      </c>
    </row>
    <row r="10" ht="16.5" customHeight="1">
      <c r="A10" s="2" t="inlineStr">
        <is>
          <t>LOCALIZAÇÃO:</t>
        </is>
      </c>
      <c r="B10" s="3" t="n"/>
      <c r="C10" s="203">
        <f>JAN!C10:I10</f>
        <v/>
      </c>
      <c r="D10" s="297" t="n"/>
      <c r="E10" s="297" t="n"/>
      <c r="F10" s="297" t="n"/>
      <c r="G10" s="297" t="n"/>
      <c r="H10" s="297" t="n"/>
      <c r="I10" s="298" t="n"/>
      <c r="J10" s="395" t="inlineStr">
        <is>
          <t>NÚMERO FUNCIONAL:</t>
        </is>
      </c>
      <c r="K10" s="296" t="n"/>
      <c r="L10" s="43">
        <f>JAN!L10</f>
        <v/>
      </c>
      <c r="M10" s="37" t="inlineStr">
        <is>
          <t>VÍNCULO:</t>
        </is>
      </c>
      <c r="N10" s="44">
        <f>JAN!N10</f>
        <v/>
      </c>
      <c r="P10" t="inlineStr">
        <is>
          <t>F: SÁBADOS; DOMINGOS E FERIADOS</t>
        </is>
      </c>
    </row>
    <row r="11" ht="16.5" customHeight="1" thickBot="1">
      <c r="A11" s="309" t="inlineStr">
        <is>
          <t>REGIME JURÍDICO:</t>
        </is>
      </c>
      <c r="B11" s="310" t="n"/>
      <c r="C11" s="311">
        <f>JAN!C11:E11</f>
        <v/>
      </c>
      <c r="D11" s="312" t="n"/>
      <c r="E11" s="313" t="n"/>
      <c r="F11" s="314" t="inlineStr">
        <is>
          <t>ÓRGÃO DE EXERCÍCIO:</t>
        </is>
      </c>
      <c r="G11" s="315" t="n"/>
      <c r="H11" s="310" t="n"/>
      <c r="I11" s="316" t="inlineStr">
        <is>
          <t>Secretaria de Estado da Educação</t>
        </is>
      </c>
      <c r="J11" s="312" t="n"/>
      <c r="K11" s="312" t="n"/>
      <c r="L11" s="312" t="n"/>
      <c r="M11" s="312" t="n"/>
      <c r="N11" s="317" t="n"/>
    </row>
    <row r="12" ht="39" customHeight="1" thickBot="1">
      <c r="A12" s="168" t="inlineStr">
        <is>
          <t>DIAS DA SEMANA</t>
        </is>
      </c>
      <c r="E12" s="287" t="n"/>
      <c r="F12" s="170" t="inlineStr">
        <is>
          <t>1º TURNO</t>
        </is>
      </c>
      <c r="G12" s="318" t="n"/>
      <c r="H12" s="170" t="inlineStr">
        <is>
          <t>2º TURNO</t>
        </is>
      </c>
      <c r="I12" s="318" t="n"/>
      <c r="J12" s="170" t="inlineStr">
        <is>
          <t>3º TURNO</t>
        </is>
      </c>
      <c r="K12" s="318" t="n"/>
      <c r="L12" s="6" t="inlineStr">
        <is>
          <t xml:space="preserve">HORAS TRABALHADAS </t>
        </is>
      </c>
      <c r="M12" s="6" t="inlineStr">
        <is>
          <t>CH PADRÃO</t>
        </is>
      </c>
      <c r="N12" s="6" t="inlineStr">
        <is>
          <t xml:space="preserve">SALDO </t>
        </is>
      </c>
      <c r="O12" s="47" t="n"/>
      <c r="P12" s="173" t="inlineStr">
        <is>
          <t>saldo acumulado até hoje</t>
        </is>
      </c>
      <c r="Q12" s="47" t="n"/>
      <c r="R12" s="319">
        <f>SUM(U14:U44)+SUM(FEV!U44)+SUM(MAR!U14:U44)+SUM(ABR!U14:U44)+SUM(MAIO!U14:U44)+SUM(JUN!U14:U44)+SUM(JUL!U14:U44)+SUM(AGO!U14:U44)+SUM(SET!U14:U44)+SUM(OUT!U14:U44)+SUM(NOV!U14:U44)+SUM(DEZ!U14:U44)</f>
        <v/>
      </c>
      <c r="S12" s="320" t="n"/>
      <c r="U12" s="66">
        <f>TODAY()</f>
        <v/>
      </c>
    </row>
    <row r="13" ht="26.25" customHeight="1" thickBot="1">
      <c r="A13" s="321" t="n"/>
      <c r="B13" s="322" t="n"/>
      <c r="C13" s="322" t="n"/>
      <c r="D13" s="322" t="n"/>
      <c r="E13" s="318" t="n"/>
      <c r="F13" s="7" t="inlineStr">
        <is>
          <t>ENTRADA MANHÃ</t>
        </is>
      </c>
      <c r="G13" s="7" t="inlineStr">
        <is>
          <t>SAÍDA MANHÃ</t>
        </is>
      </c>
      <c r="H13" s="7" t="inlineStr">
        <is>
          <t>ENTRADA TARDE</t>
        </is>
      </c>
      <c r="I13" s="7" t="inlineStr">
        <is>
          <t>SAÍDA DA TARDE</t>
        </is>
      </c>
      <c r="J13" s="7" t="inlineStr">
        <is>
          <t>ENTRADA EXTRA</t>
        </is>
      </c>
      <c r="K13" s="7" t="inlineStr">
        <is>
          <t>SAÍDA EXTRA</t>
        </is>
      </c>
      <c r="L13" s="8" t="inlineStr">
        <is>
          <t>POR DIA</t>
        </is>
      </c>
      <c r="M13" s="8" t="inlineStr">
        <is>
          <t>DIÁRIA</t>
        </is>
      </c>
      <c r="N13" s="8" t="inlineStr">
        <is>
          <t>DIÁRIO</t>
        </is>
      </c>
      <c r="O13" s="47" t="n"/>
    </row>
    <row r="14" ht="16.5" customHeight="1" thickBot="1">
      <c r="A14" s="17">
        <f>IF(OR(C14=2,C14=8),"F","U")</f>
        <v/>
      </c>
      <c r="B14" s="45">
        <f>K6</f>
        <v/>
      </c>
      <c r="C14" s="390">
        <f>WEEKDAY(B14)+1</f>
        <v/>
      </c>
      <c r="D14" s="351" t="n"/>
      <c r="E14" s="291" t="n"/>
      <c r="F14" s="371" t="n">
        <v>0</v>
      </c>
      <c r="G14" s="372" t="n">
        <v>0</v>
      </c>
      <c r="H14" s="372" t="n">
        <v>0</v>
      </c>
      <c r="I14" s="373" t="n">
        <v>0</v>
      </c>
      <c r="J14" s="374" t="n"/>
      <c r="K14" s="328" t="n"/>
      <c r="L14" s="330" t="n">
        <v>0</v>
      </c>
      <c r="M14" s="330" t="n">
        <v>0.3333333333333333</v>
      </c>
      <c r="N14" s="331">
        <f>IF(A14="U",(L14-M14),"NÃO ÚTIL")</f>
        <v/>
      </c>
      <c r="O14" s="47" t="n"/>
      <c r="P14" s="332">
        <f>IF(N14="não útil",0,N14)</f>
        <v/>
      </c>
      <c r="Q14" s="332">
        <f>P14</f>
        <v/>
      </c>
      <c r="R14" s="332">
        <f>Q14+$Q$4</f>
        <v/>
      </c>
      <c r="S14" s="47">
        <f>IF(B14=T14,"HOJE",".")</f>
        <v/>
      </c>
      <c r="T14" s="62">
        <f>TODAY()</f>
        <v/>
      </c>
      <c r="U14" s="332">
        <f>IF(S14="HOJE",R14,0)</f>
        <v/>
      </c>
      <c r="V14" s="47" t="n"/>
    </row>
    <row r="15" ht="16.5" customHeight="1" thickBot="1">
      <c r="A15" s="17">
        <f>IF(OR(C15=2,C15=8),"F","U")</f>
        <v/>
      </c>
      <c r="B15" s="46">
        <f>B14+1</f>
        <v/>
      </c>
      <c r="C15" s="393">
        <f>WEEKDAY(B15)+1</f>
        <v/>
      </c>
      <c r="D15" s="305" t="n"/>
      <c r="E15" s="296" t="n"/>
      <c r="F15" s="371" t="n">
        <v>0</v>
      </c>
      <c r="G15" s="372" t="n">
        <v>0</v>
      </c>
      <c r="H15" s="372" t="n">
        <v>0</v>
      </c>
      <c r="I15" s="373" t="n">
        <v>0</v>
      </c>
      <c r="J15" s="376" t="n"/>
      <c r="K15" s="336" t="n"/>
      <c r="L15" s="329">
        <f>IF(A15="U",(G15-F15)+(I15-H15)+(K15-J15),"NÃO ÚTIL")</f>
        <v/>
      </c>
      <c r="M15" s="330" t="n">
        <v>0.3333333333333333</v>
      </c>
      <c r="N15" s="331">
        <f>IF(A15="U",(L15-M15),"NÃO ÚTIL")</f>
        <v/>
      </c>
      <c r="O15" s="337" t="n"/>
      <c r="P15" s="332">
        <f>IF(N15="não útil",0,N15)</f>
        <v/>
      </c>
      <c r="Q15" s="337">
        <f>P15+Q14</f>
        <v/>
      </c>
      <c r="R15" s="332">
        <f>Q15+$Q$4</f>
        <v/>
      </c>
      <c r="S15" s="47">
        <f>IF(B15=T15,"HOJE",".")</f>
        <v/>
      </c>
      <c r="T15" s="62">
        <f>TODAY()</f>
        <v/>
      </c>
      <c r="U15" s="332">
        <f>IF(S15="HOJE",R15,0)</f>
        <v/>
      </c>
      <c r="V15" s="47" t="n"/>
    </row>
    <row r="16" ht="16.5" customHeight="1" thickBot="1">
      <c r="A16" s="17">
        <f>IF(OR(C16=2,C16=8),"F","U")</f>
        <v/>
      </c>
      <c r="B16" s="46">
        <f>B15+1</f>
        <v/>
      </c>
      <c r="C16" s="393">
        <f>WEEKDAY(B16)+1</f>
        <v/>
      </c>
      <c r="D16" s="305" t="n"/>
      <c r="E16" s="296" t="n"/>
      <c r="F16" s="371" t="n">
        <v>0</v>
      </c>
      <c r="G16" s="372" t="n">
        <v>0</v>
      </c>
      <c r="H16" s="372" t="n">
        <v>0</v>
      </c>
      <c r="I16" s="373" t="n">
        <v>0</v>
      </c>
      <c r="J16" s="377" t="n"/>
      <c r="K16" s="339" t="n"/>
      <c r="L16" s="329">
        <f>IF(A16="U",(G16-F16)+(I16-H16)+(K16-J16),"NÃO ÚTIL")</f>
        <v/>
      </c>
      <c r="M16" s="330" t="n">
        <v>0.3333333333333333</v>
      </c>
      <c r="N16" s="331">
        <f>IF(A16="U",(L16-M16),"NÃO ÚTIL")</f>
        <v/>
      </c>
      <c r="O16" s="337" t="n"/>
      <c r="P16" s="332">
        <f>IF(N16="não útil",0,N16)</f>
        <v/>
      </c>
      <c r="Q16" s="337">
        <f>P16+Q15</f>
        <v/>
      </c>
      <c r="R16" s="332">
        <f>Q16+$Q$4</f>
        <v/>
      </c>
      <c r="S16" s="47">
        <f>IF(B16=T16,"HOJE",".")</f>
        <v/>
      </c>
      <c r="T16" s="62">
        <f>TODAY()</f>
        <v/>
      </c>
      <c r="U16" s="332">
        <f>IF(S16="HOJE",R16,0)</f>
        <v/>
      </c>
      <c r="V16" s="47" t="n"/>
    </row>
    <row r="17" ht="16.5" customHeight="1" thickBot="1">
      <c r="A17" s="17">
        <f>IF(OR(C17=2,C17=8),"F","U")</f>
        <v/>
      </c>
      <c r="B17" s="46">
        <f>B16+1</f>
        <v/>
      </c>
      <c r="C17" s="393">
        <f>WEEKDAY(B17)+1</f>
        <v/>
      </c>
      <c r="D17" s="305" t="n"/>
      <c r="E17" s="296" t="n"/>
      <c r="F17" s="371" t="n">
        <v>0</v>
      </c>
      <c r="G17" s="372" t="n">
        <v>0</v>
      </c>
      <c r="H17" s="372" t="n">
        <v>0</v>
      </c>
      <c r="I17" s="373" t="n">
        <v>0</v>
      </c>
      <c r="J17" s="378" t="n"/>
      <c r="K17" s="341" t="n"/>
      <c r="L17" s="329">
        <f>IF(A17="U",(G17-F17)+(I17-H17)+(K17-J17),"NÃO ÚTIL")</f>
        <v/>
      </c>
      <c r="M17" s="330">
        <f>IF(A17="U",L7,"NÃO ÚTIL")</f>
        <v/>
      </c>
      <c r="N17" s="331">
        <f>IF(A17="U",(L17-M17),"NÃO ÚTIL")</f>
        <v/>
      </c>
      <c r="O17" s="47" t="n"/>
      <c r="P17" s="332">
        <f>IF(N17="não útil",0,N17)</f>
        <v/>
      </c>
      <c r="Q17" s="337">
        <f>P17+Q16</f>
        <v/>
      </c>
      <c r="R17" s="332">
        <f>Q17+$Q$4</f>
        <v/>
      </c>
      <c r="S17" s="47">
        <f>IF(B17=T17,"HOJE",".")</f>
        <v/>
      </c>
      <c r="T17" s="62">
        <f>TODAY()</f>
        <v/>
      </c>
      <c r="U17" s="332">
        <f>IF(S17="HOJE",R17,0)</f>
        <v/>
      </c>
      <c r="V17" s="47" t="n"/>
    </row>
    <row r="18" ht="16.5" customHeight="1" thickBot="1">
      <c r="A18" s="17">
        <f>IF(OR(C18=2,C18=8),"F","U")</f>
        <v/>
      </c>
      <c r="B18" s="46">
        <f>B17+1</f>
        <v/>
      </c>
      <c r="C18" s="393">
        <f>WEEKDAY(B18)+1</f>
        <v/>
      </c>
      <c r="D18" s="305" t="n"/>
      <c r="E18" s="296" t="n"/>
      <c r="F18" s="371" t="n">
        <v>0</v>
      </c>
      <c r="G18" s="372" t="n">
        <v>0</v>
      </c>
      <c r="H18" s="372" t="n">
        <v>0</v>
      </c>
      <c r="I18" s="373" t="n">
        <v>0</v>
      </c>
      <c r="J18" s="377" t="n"/>
      <c r="K18" s="339" t="n"/>
      <c r="L18" s="329">
        <f>IF(A18="U",(G18-F18)+(I18-H18)+(K18-J18),"NÃO ÚTIL")</f>
        <v/>
      </c>
      <c r="M18" s="330">
        <f>IF(A18="U",L7,"NÃO ÚTIL")</f>
        <v/>
      </c>
      <c r="N18" s="331">
        <f>IF(A18="U",(L18-M18),"NÃO ÚTIL")</f>
        <v/>
      </c>
      <c r="O18" s="47" t="n"/>
      <c r="P18" s="332">
        <f>IF(N18="não útil",0,N18)</f>
        <v/>
      </c>
      <c r="Q18" s="337">
        <f>P18+Q17</f>
        <v/>
      </c>
      <c r="R18" s="332">
        <f>Q18+$Q$4</f>
        <v/>
      </c>
      <c r="S18" s="47">
        <f>IF(B18=T18,"HOJE",".")</f>
        <v/>
      </c>
      <c r="T18" s="62">
        <f>TODAY()</f>
        <v/>
      </c>
      <c r="U18" s="332">
        <f>IF(S18="HOJE",R18,0)</f>
        <v/>
      </c>
      <c r="V18" s="47" t="n"/>
    </row>
    <row r="19" ht="16.5" customHeight="1" thickBot="1">
      <c r="A19" s="17">
        <f>IF(OR(C19=2,C19=8),"F","U")</f>
        <v/>
      </c>
      <c r="B19" s="46">
        <f>B18+1</f>
        <v/>
      </c>
      <c r="C19" s="393">
        <f>WEEKDAY(B19)+1</f>
        <v/>
      </c>
      <c r="D19" s="305" t="n"/>
      <c r="E19" s="296" t="n"/>
      <c r="F19" s="371" t="n">
        <v>0</v>
      </c>
      <c r="G19" s="372" t="n">
        <v>0</v>
      </c>
      <c r="H19" s="372" t="n">
        <v>0</v>
      </c>
      <c r="I19" s="373" t="n">
        <v>0</v>
      </c>
      <c r="J19" s="376" t="n"/>
      <c r="K19" s="336" t="n"/>
      <c r="L19" s="329">
        <f>IF(A19="U",(G19-F19)+(I19-H19)+(K19-J19),"NÃO ÚTIL")</f>
        <v/>
      </c>
      <c r="M19" s="330" t="n">
        <v>0.3333333333333333</v>
      </c>
      <c r="N19" s="331">
        <f>IF(A19="U",(L19-M19),"NÃO ÚTIL")</f>
        <v/>
      </c>
      <c r="O19" s="47" t="n"/>
      <c r="P19" s="332">
        <f>IF(N19="não útil",0,N19)</f>
        <v/>
      </c>
      <c r="Q19" s="337">
        <f>P19+Q18</f>
        <v/>
      </c>
      <c r="R19" s="332">
        <f>Q19+$Q$4</f>
        <v/>
      </c>
      <c r="S19" s="47">
        <f>IF(B19=T19,"HOJE",".")</f>
        <v/>
      </c>
      <c r="T19" s="62">
        <f>TODAY()</f>
        <v/>
      </c>
      <c r="U19" s="332">
        <f>IF(S19="HOJE",R19,0)</f>
        <v/>
      </c>
      <c r="V19" s="47" t="n"/>
    </row>
    <row r="20" ht="16.5" customHeight="1" thickBot="1">
      <c r="A20" s="17">
        <f>IF(OR(C20=2,C20=8),"F","U")</f>
        <v/>
      </c>
      <c r="B20" s="46">
        <f>B19+1</f>
        <v/>
      </c>
      <c r="C20" s="393">
        <f>WEEKDAY(B20)+1</f>
        <v/>
      </c>
      <c r="D20" s="305" t="n"/>
      <c r="E20" s="296" t="n"/>
      <c r="F20" s="371" t="n">
        <v>0</v>
      </c>
      <c r="G20" s="372" t="n">
        <v>0</v>
      </c>
      <c r="H20" s="372" t="n">
        <v>0</v>
      </c>
      <c r="I20" s="373" t="n">
        <v>0</v>
      </c>
      <c r="J20" s="376" t="n"/>
      <c r="K20" s="336" t="n"/>
      <c r="L20" s="329">
        <f>IF(A20="U",(G20-F20)+(I20-H20)+(K20-J20),"NÃO ÚTIL")</f>
        <v/>
      </c>
      <c r="M20" s="330" t="n">
        <v>0.3333333333333333</v>
      </c>
      <c r="N20" s="331">
        <f>IF(A20="U",(L20-M20),"NÃO ÚTIL")</f>
        <v/>
      </c>
      <c r="O20" s="47" t="n"/>
      <c r="P20" s="332">
        <f>IF(N20="não útil",0,N20)</f>
        <v/>
      </c>
      <c r="Q20" s="337">
        <f>P20+Q19</f>
        <v/>
      </c>
      <c r="R20" s="332">
        <f>Q20+$Q$4</f>
        <v/>
      </c>
      <c r="S20" s="47">
        <f>IF(B20=T20,"HOJE",".")</f>
        <v/>
      </c>
      <c r="T20" s="62">
        <f>TODAY()</f>
        <v/>
      </c>
      <c r="U20" s="332">
        <f>IF(S20="HOJE",R20,0)</f>
        <v/>
      </c>
      <c r="V20" s="47" t="n"/>
    </row>
    <row r="21" ht="16.5" customHeight="1" thickBot="1">
      <c r="A21" s="17">
        <f>IF(OR(C21=2,C21=8),"F","U")</f>
        <v/>
      </c>
      <c r="B21" s="46">
        <f>B20+1</f>
        <v/>
      </c>
      <c r="C21" s="393">
        <f>WEEKDAY(B21)+1</f>
        <v/>
      </c>
      <c r="D21" s="305" t="n"/>
      <c r="E21" s="296" t="n"/>
      <c r="F21" s="371" t="n">
        <v>0</v>
      </c>
      <c r="G21" s="372" t="n">
        <v>0</v>
      </c>
      <c r="H21" s="372" t="n">
        <v>0</v>
      </c>
      <c r="I21" s="373" t="n">
        <v>0</v>
      </c>
      <c r="J21" s="378" t="n"/>
      <c r="K21" s="341" t="n"/>
      <c r="L21" s="329">
        <f>IF(A21="U",(G21-F21)+(I21-H21)+(K21-J21),"NÃO ÚTIL")</f>
        <v/>
      </c>
      <c r="M21" s="330" t="n">
        <v>0.3333333333333333</v>
      </c>
      <c r="N21" s="331">
        <f>IF(A21="U",(L21-M21),"NÃO ÚTIL")</f>
        <v/>
      </c>
      <c r="O21" s="47" t="n"/>
      <c r="P21" s="332">
        <f>IF(N21="não útil",0,N21)</f>
        <v/>
      </c>
      <c r="Q21" s="337">
        <f>P21+Q20</f>
        <v/>
      </c>
      <c r="R21" s="332">
        <f>Q21+$Q$4</f>
        <v/>
      </c>
      <c r="S21" s="47">
        <f>IF(B21=T21,"HOJE",".")</f>
        <v/>
      </c>
      <c r="T21" s="62">
        <f>TODAY()</f>
        <v/>
      </c>
      <c r="U21" s="332">
        <f>IF(S21="HOJE",R21,0)</f>
        <v/>
      </c>
      <c r="V21" s="47" t="n"/>
    </row>
    <row r="22" ht="16.5" customHeight="1" thickBot="1">
      <c r="A22" s="17">
        <f>IF(OR(C22=2,C22=8),"F","U")</f>
        <v/>
      </c>
      <c r="B22" s="46">
        <f>B21+1</f>
        <v/>
      </c>
      <c r="C22" s="393">
        <f>WEEKDAY(B22)+1</f>
        <v/>
      </c>
      <c r="D22" s="305" t="n"/>
      <c r="E22" s="296" t="n"/>
      <c r="F22" s="371" t="n">
        <v>0</v>
      </c>
      <c r="G22" s="372" t="n">
        <v>0</v>
      </c>
      <c r="H22" s="372" t="n">
        <v>0</v>
      </c>
      <c r="I22" s="373" t="n">
        <v>0</v>
      </c>
      <c r="J22" s="377" t="n"/>
      <c r="K22" s="339" t="n"/>
      <c r="L22" s="329">
        <f>IF(A22="U",(G22-F22)+(I22-H22)+(K22-J22),"NÃO ÚTIL")</f>
        <v/>
      </c>
      <c r="M22" s="330" t="n">
        <v>0.3333333333333333</v>
      </c>
      <c r="N22" s="331">
        <f>IF(A22="U",(L22-M22),"NÃO ÚTIL")</f>
        <v/>
      </c>
      <c r="O22" s="47" t="n"/>
      <c r="P22" s="332">
        <f>IF(N22="não útil",0,N22)</f>
        <v/>
      </c>
      <c r="Q22" s="337">
        <f>P22+Q21</f>
        <v/>
      </c>
      <c r="R22" s="332">
        <f>Q22+$Q$4</f>
        <v/>
      </c>
      <c r="S22" s="47">
        <f>IF(B22=T22,"HOJE",".")</f>
        <v/>
      </c>
      <c r="T22" s="62">
        <f>TODAY()</f>
        <v/>
      </c>
      <c r="U22" s="332">
        <f>IF(S22="HOJE",R22,0)</f>
        <v/>
      </c>
      <c r="V22" s="47" t="n"/>
    </row>
    <row r="23" ht="16.5" customHeight="1" thickBot="1">
      <c r="A23" s="17">
        <f>IF(OR(C23=2,C23=8),"F","U")</f>
        <v/>
      </c>
      <c r="B23" s="46">
        <f>B22+1</f>
        <v/>
      </c>
      <c r="C23" s="393">
        <f>WEEKDAY(B23)+1</f>
        <v/>
      </c>
      <c r="D23" s="305" t="n"/>
      <c r="E23" s="296" t="n"/>
      <c r="F23" s="371" t="n">
        <v>0</v>
      </c>
      <c r="G23" s="372" t="n">
        <v>0</v>
      </c>
      <c r="H23" s="372" t="n">
        <v>0</v>
      </c>
      <c r="I23" s="373" t="n">
        <v>0</v>
      </c>
      <c r="J23" s="376" t="n"/>
      <c r="K23" s="336" t="n"/>
      <c r="L23" s="329">
        <f>IF(A23="U",(G23-F23)+(I23-H23)+(K23-J23),"NÃO ÚTIL")</f>
        <v/>
      </c>
      <c r="M23" s="330" t="n">
        <v>0.3333333333333333</v>
      </c>
      <c r="N23" s="331">
        <f>IF(A23="U",(L23-M23),"NÃO ÚTIL")</f>
        <v/>
      </c>
      <c r="O23" s="47" t="n"/>
      <c r="P23" s="332">
        <f>IF(N23="não útil",0,N23)</f>
        <v/>
      </c>
      <c r="Q23" s="337">
        <f>P23+Q22</f>
        <v/>
      </c>
      <c r="R23" s="332">
        <f>Q23+$Q$4</f>
        <v/>
      </c>
      <c r="S23" s="47">
        <f>IF(B23=T23,"HOJE",".")</f>
        <v/>
      </c>
      <c r="T23" s="62">
        <f>TODAY()</f>
        <v/>
      </c>
      <c r="U23" s="332">
        <f>IF(S23="HOJE",R23,0)</f>
        <v/>
      </c>
      <c r="V23" s="47" t="n"/>
    </row>
    <row r="24" ht="16.5" customHeight="1" thickBot="1">
      <c r="A24" s="17">
        <f>IF(OR(C24=2,C24=8),"F","U")</f>
        <v/>
      </c>
      <c r="B24" s="46">
        <f>B23+1</f>
        <v/>
      </c>
      <c r="C24" s="393">
        <f>WEEKDAY(B24)+1</f>
        <v/>
      </c>
      <c r="D24" s="305" t="n"/>
      <c r="E24" s="296" t="n"/>
      <c r="F24" s="371" t="n">
        <v>0</v>
      </c>
      <c r="G24" s="379" t="n">
        <v>0</v>
      </c>
      <c r="H24" s="379" t="n">
        <v>0</v>
      </c>
      <c r="I24" s="380" t="n">
        <v>0</v>
      </c>
      <c r="J24" s="377" t="n"/>
      <c r="K24" s="339" t="n"/>
      <c r="L24" s="329">
        <f>IF(A24="U",(G24-F24)+(I24-H24)+(K24-J24),"NÃO ÚTIL")</f>
        <v/>
      </c>
      <c r="M24" s="330">
        <f>IF(A24="U",L7,"NÃO ÚTIL")</f>
        <v/>
      </c>
      <c r="N24" s="331">
        <f>IF(A24="U",(L24-M24),"NÃO ÚTIL")</f>
        <v/>
      </c>
      <c r="O24" s="47" t="n"/>
      <c r="P24" s="332">
        <f>IF(N24="não útil",0,N24)</f>
        <v/>
      </c>
      <c r="Q24" s="337">
        <f>P24+Q23</f>
        <v/>
      </c>
      <c r="R24" s="332">
        <f>Q24+$Q$4</f>
        <v/>
      </c>
      <c r="S24" s="47">
        <f>IF(B24=T24,"HOJE",".")</f>
        <v/>
      </c>
      <c r="T24" s="62">
        <f>TODAY()</f>
        <v/>
      </c>
      <c r="U24" s="332">
        <f>IF(S24="HOJE",R24,0)</f>
        <v/>
      </c>
      <c r="V24" s="47" t="n"/>
    </row>
    <row r="25" ht="16.5" customHeight="1" thickBot="1">
      <c r="A25" s="17">
        <f>IF(OR(C25=2,C25=8),"F","U")</f>
        <v/>
      </c>
      <c r="B25" s="46">
        <f>B24+1</f>
        <v/>
      </c>
      <c r="C25" s="393">
        <f>WEEKDAY(B25)+1</f>
        <v/>
      </c>
      <c r="D25" s="305" t="n"/>
      <c r="E25" s="296" t="n"/>
      <c r="F25" s="371" t="n">
        <v>0</v>
      </c>
      <c r="G25" s="372" t="n">
        <v>0</v>
      </c>
      <c r="H25" s="372" t="n">
        <v>0</v>
      </c>
      <c r="I25" s="373" t="n">
        <v>0</v>
      </c>
      <c r="J25" s="376" t="n"/>
      <c r="K25" s="336" t="n"/>
      <c r="L25" s="329">
        <f>IF(A25="U",(G25-F25)+(I25-H25)+(K25-J25),"NÃO ÚTIL")</f>
        <v/>
      </c>
      <c r="M25" s="330">
        <f>IF(A25="U",L7,"NÃO ÚTIL")</f>
        <v/>
      </c>
      <c r="N25" s="331">
        <f>IF(A25="U",(L25-M25),"NÃO ÚTIL")</f>
        <v/>
      </c>
      <c r="O25" s="47" t="n"/>
      <c r="P25" s="332">
        <f>IF(N25="não útil",0,N25)</f>
        <v/>
      </c>
      <c r="Q25" s="337">
        <f>P25+Q24</f>
        <v/>
      </c>
      <c r="R25" s="332">
        <f>Q25+$Q$4</f>
        <v/>
      </c>
      <c r="S25" s="47">
        <f>IF(B25=T25,"HOJE",".")</f>
        <v/>
      </c>
      <c r="T25" s="62">
        <f>TODAY()</f>
        <v/>
      </c>
      <c r="U25" s="332">
        <f>IF(S25="HOJE",R25,0)</f>
        <v/>
      </c>
      <c r="V25" s="47" t="n"/>
    </row>
    <row r="26" ht="16.5" customHeight="1" thickBot="1">
      <c r="A26" s="17">
        <f>IF(OR(C26=2,C26=8),"F","U")</f>
        <v/>
      </c>
      <c r="B26" s="46">
        <f>B25+1</f>
        <v/>
      </c>
      <c r="C26" s="393">
        <f>WEEKDAY(B26)+1</f>
        <v/>
      </c>
      <c r="D26" s="305" t="n"/>
      <c r="E26" s="296" t="n"/>
      <c r="F26" s="371" t="n">
        <v>0</v>
      </c>
      <c r="G26" s="372" t="n">
        <v>0</v>
      </c>
      <c r="H26" s="372" t="n">
        <v>0</v>
      </c>
      <c r="I26" s="373" t="n">
        <v>0</v>
      </c>
      <c r="J26" s="378" t="n"/>
      <c r="K26" s="341" t="n"/>
      <c r="L26" s="329">
        <f>IF(A26="U",(G26-F26)+(I26-H26)+(K26-J26),"NÃO ÚTIL")</f>
        <v/>
      </c>
      <c r="M26" s="330" t="n">
        <v>0.3333333333333333</v>
      </c>
      <c r="N26" s="331">
        <f>IF(A26="U",(L26-M26),"NÃO ÚTIL")</f>
        <v/>
      </c>
      <c r="O26" s="47" t="n"/>
      <c r="P26" s="332">
        <f>IF(N26="não útil",0,N26)</f>
        <v/>
      </c>
      <c r="Q26" s="337">
        <f>P26+Q25</f>
        <v/>
      </c>
      <c r="R26" s="332">
        <f>Q26+$Q$4</f>
        <v/>
      </c>
      <c r="S26" s="47">
        <f>IF(B26=T26,"HOJE",".")</f>
        <v/>
      </c>
      <c r="T26" s="62">
        <f>TODAY()</f>
        <v/>
      </c>
      <c r="U26" s="332">
        <f>IF(S26="HOJE",R26,0)</f>
        <v/>
      </c>
      <c r="V26" s="47" t="n"/>
    </row>
    <row r="27" ht="16.5" customHeight="1" thickBot="1">
      <c r="A27" s="17">
        <f>IF(OR(C27=2,C27=8),"F","U")</f>
        <v/>
      </c>
      <c r="B27" s="46">
        <f>B26+1</f>
        <v/>
      </c>
      <c r="C27" s="393">
        <f>WEEKDAY(B27)+1</f>
        <v/>
      </c>
      <c r="D27" s="305" t="n"/>
      <c r="E27" s="296" t="n"/>
      <c r="F27" s="371" t="n">
        <v>0</v>
      </c>
      <c r="G27" s="372" t="n">
        <v>0</v>
      </c>
      <c r="H27" s="372" t="n">
        <v>0</v>
      </c>
      <c r="I27" s="373" t="n">
        <v>0</v>
      </c>
      <c r="J27" s="377" t="n"/>
      <c r="K27" s="339" t="n"/>
      <c r="L27" s="329">
        <f>IF(A27="U",(G27-F27)+(I27-H27)+(K27-J27),"NÃO ÚTIL")</f>
        <v/>
      </c>
      <c r="M27" s="330" t="n">
        <v>0.3333333333333333</v>
      </c>
      <c r="N27" s="331">
        <f>IF(A27="U",(L27-M27),"NÃO ÚTIL")</f>
        <v/>
      </c>
      <c r="O27" s="47" t="n"/>
      <c r="P27" s="332">
        <f>IF(N27="não útil",0,N27)</f>
        <v/>
      </c>
      <c r="Q27" s="337">
        <f>P27+Q26</f>
        <v/>
      </c>
      <c r="R27" s="332">
        <f>Q27+$Q$4</f>
        <v/>
      </c>
      <c r="S27" s="47">
        <f>IF(B27=T27,"HOJE",".")</f>
        <v/>
      </c>
      <c r="T27" s="62">
        <f>TODAY()</f>
        <v/>
      </c>
      <c r="U27" s="332">
        <f>IF(S27="HOJE",R27,0)</f>
        <v/>
      </c>
      <c r="V27" s="47" t="n"/>
    </row>
    <row r="28" ht="16.5" customHeight="1" thickBot="1">
      <c r="A28" s="17">
        <f>IF(OR(C28=2,C28=8),"F","U")</f>
        <v/>
      </c>
      <c r="B28" s="46">
        <f>B27+1</f>
        <v/>
      </c>
      <c r="C28" s="393">
        <f>WEEKDAY(B28)+1</f>
        <v/>
      </c>
      <c r="D28" s="305" t="n"/>
      <c r="E28" s="296" t="n"/>
      <c r="F28" s="371" t="n">
        <v>0</v>
      </c>
      <c r="G28" s="372" t="n">
        <v>0</v>
      </c>
      <c r="H28" s="372" t="n">
        <v>0</v>
      </c>
      <c r="I28" s="373" t="n">
        <v>0</v>
      </c>
      <c r="J28" s="376" t="n"/>
      <c r="K28" s="336" t="n"/>
      <c r="L28" s="329">
        <f>IF(A28="U",(G28-F28)+(I28-H28)+(K28-J28),"NÃO ÚTIL")</f>
        <v/>
      </c>
      <c r="M28" s="330" t="n">
        <v>0.3333333333333333</v>
      </c>
      <c r="N28" s="331">
        <f>IF(A28="U",(L28-M28),"NÃO ÚTIL")</f>
        <v/>
      </c>
      <c r="O28" s="47" t="n"/>
      <c r="P28" s="332">
        <f>IF(N28="não útil",0,N28)</f>
        <v/>
      </c>
      <c r="Q28" s="337">
        <f>P28+Q27</f>
        <v/>
      </c>
      <c r="R28" s="332">
        <f>Q28+$Q$4</f>
        <v/>
      </c>
      <c r="S28" s="47">
        <f>IF(B28=T28,"HOJE",".")</f>
        <v/>
      </c>
      <c r="T28" s="62">
        <f>TODAY()</f>
        <v/>
      </c>
      <c r="U28" s="332">
        <f>IF(S28="HOJE",R28,0)</f>
        <v/>
      </c>
      <c r="V28" s="47" t="n"/>
    </row>
    <row r="29" ht="16.5" customHeight="1" thickBot="1">
      <c r="A29" s="17">
        <f>IF(OR(C29=2,C29=8),"F","U")</f>
        <v/>
      </c>
      <c r="B29" s="46">
        <f>B28+1</f>
        <v/>
      </c>
      <c r="C29" s="393">
        <f>WEEKDAY(B29)+1</f>
        <v/>
      </c>
      <c r="D29" s="305" t="n"/>
      <c r="E29" s="296" t="n"/>
      <c r="F29" s="371" t="n">
        <v>0</v>
      </c>
      <c r="G29" s="372" t="n">
        <v>0</v>
      </c>
      <c r="H29" s="372" t="n">
        <v>0</v>
      </c>
      <c r="I29" s="373" t="n">
        <v>0</v>
      </c>
      <c r="J29" s="378" t="n"/>
      <c r="K29" s="341" t="n"/>
      <c r="L29" s="329">
        <f>IF(A29="U",(G29-F29)+(I29-H29)+(K29-J29),"NÃO ÚTIL")</f>
        <v/>
      </c>
      <c r="M29" s="330" t="n">
        <v>0.3333333333333333</v>
      </c>
      <c r="N29" s="331">
        <f>IF(A29="U",(L29-M29),"NÃO ÚTIL")</f>
        <v/>
      </c>
      <c r="O29" s="47" t="n"/>
      <c r="P29" s="332">
        <f>IF(N29="não útil",0,N29)</f>
        <v/>
      </c>
      <c r="Q29" s="337">
        <f>P29+Q28</f>
        <v/>
      </c>
      <c r="R29" s="332">
        <f>Q29+$Q$4</f>
        <v/>
      </c>
      <c r="S29" s="47">
        <f>IF(B29=T29,"HOJE",".")</f>
        <v/>
      </c>
      <c r="T29" s="62">
        <f>TODAY()</f>
        <v/>
      </c>
      <c r="U29" s="332">
        <f>IF(S29="HOJE",R29,0)</f>
        <v/>
      </c>
      <c r="V29" s="47" t="n"/>
    </row>
    <row r="30" ht="16.5" customHeight="1" thickBot="1">
      <c r="A30" s="17">
        <f>IF(OR(C30=2,C30=8),"F","U")</f>
        <v/>
      </c>
      <c r="B30" s="46">
        <f>B29+1</f>
        <v/>
      </c>
      <c r="C30" s="393">
        <f>WEEKDAY(B30)+1</f>
        <v/>
      </c>
      <c r="D30" s="305" t="n"/>
      <c r="E30" s="296" t="n"/>
      <c r="F30" s="371" t="n">
        <v>0</v>
      </c>
      <c r="G30" s="372" t="n">
        <v>0</v>
      </c>
      <c r="H30" s="372" t="n">
        <v>0</v>
      </c>
      <c r="I30" s="373" t="n">
        <v>0</v>
      </c>
      <c r="J30" s="377" t="n"/>
      <c r="K30" s="339" t="n"/>
      <c r="L30" s="329">
        <f>IF(A30="U",(G30-F30)+(I30-H30)+(K30-J30),"NÃO ÚTIL")</f>
        <v/>
      </c>
      <c r="M30" s="330" t="n">
        <v>0.3333333333333333</v>
      </c>
      <c r="N30" s="331">
        <f>IF(A30="U",(L30-M30),"NÃO ÚTIL")</f>
        <v/>
      </c>
      <c r="O30" s="47" t="n"/>
      <c r="P30" s="332">
        <f>IF(N30="não útil",0,N30)</f>
        <v/>
      </c>
      <c r="Q30" s="337">
        <f>P30+Q29</f>
        <v/>
      </c>
      <c r="R30" s="332">
        <f>Q30+$Q$4</f>
        <v/>
      </c>
      <c r="S30" s="47">
        <f>IF(B30=T30,"HOJE",".")</f>
        <v/>
      </c>
      <c r="T30" s="62">
        <f>TODAY()</f>
        <v/>
      </c>
      <c r="U30" s="332">
        <f>IF(S30="HOJE",R30,0)</f>
        <v/>
      </c>
      <c r="V30" s="47" t="n"/>
    </row>
    <row r="31" ht="16.5" customHeight="1" thickBot="1">
      <c r="A31" s="17">
        <f>IF(OR(C31=2,C31=8),"F","U")</f>
        <v/>
      </c>
      <c r="B31" s="46">
        <f>B30+1</f>
        <v/>
      </c>
      <c r="C31" s="393">
        <f>WEEKDAY(B31)+1</f>
        <v/>
      </c>
      <c r="D31" s="305" t="n"/>
      <c r="E31" s="296" t="n"/>
      <c r="F31" s="371" t="n">
        <v>0</v>
      </c>
      <c r="G31" s="372" t="n">
        <v>0</v>
      </c>
      <c r="H31" s="372" t="n">
        <v>0</v>
      </c>
      <c r="I31" s="373" t="n">
        <v>0</v>
      </c>
      <c r="J31" s="378" t="n"/>
      <c r="K31" s="341" t="n"/>
      <c r="L31" s="329">
        <f>IF(A31="U",(G31-F31)+(I31-H31)+(K31-J31),"NÃO ÚTIL")</f>
        <v/>
      </c>
      <c r="M31" s="330">
        <f>IF(A31="U",L7,"NÃO ÚTIL")</f>
        <v/>
      </c>
      <c r="N31" s="331">
        <f>IF(A31="U",(L31-M31),"NÃO ÚTIL")</f>
        <v/>
      </c>
      <c r="O31" s="47" t="n"/>
      <c r="P31" s="332">
        <f>IF(N31="não útil",0,N31)</f>
        <v/>
      </c>
      <c r="Q31" s="337">
        <f>P31+Q30</f>
        <v/>
      </c>
      <c r="R31" s="332">
        <f>Q31+$Q$4</f>
        <v/>
      </c>
      <c r="S31" s="47">
        <f>IF(B31=T31,"HOJE",".")</f>
        <v/>
      </c>
      <c r="T31" s="62">
        <f>TODAY()</f>
        <v/>
      </c>
      <c r="U31" s="332">
        <f>IF(S31="HOJE",R31,0)</f>
        <v/>
      </c>
      <c r="V31" s="47" t="n"/>
    </row>
    <row r="32" ht="16.5" customHeight="1" thickBot="1">
      <c r="A32" s="17">
        <f>IF(OR(C32=2,C32=8),"F","U")</f>
        <v/>
      </c>
      <c r="B32" s="46">
        <f>B31+1</f>
        <v/>
      </c>
      <c r="C32" s="393">
        <f>WEEKDAY(B32)+1</f>
        <v/>
      </c>
      <c r="D32" s="305" t="n"/>
      <c r="E32" s="296" t="n"/>
      <c r="F32" s="371" t="n">
        <v>0</v>
      </c>
      <c r="G32" s="372" t="n">
        <v>0</v>
      </c>
      <c r="H32" s="372" t="n">
        <v>0</v>
      </c>
      <c r="I32" s="373" t="n">
        <v>0</v>
      </c>
      <c r="J32" s="338" t="n"/>
      <c r="K32" s="339" t="n"/>
      <c r="L32" s="329">
        <f>IF(A32="U",(G32-F32)+(I32-H32)+(K32-J32),"NÃO ÚTIL")</f>
        <v/>
      </c>
      <c r="M32" s="330">
        <f>IF(A32="U",L7,"NÃO ÚTIL")</f>
        <v/>
      </c>
      <c r="N32" s="331">
        <f>IF(A32="U",(L32-M32),"NÃO ÚTIL")</f>
        <v/>
      </c>
      <c r="O32" s="47" t="n"/>
      <c r="P32" s="332">
        <f>IF(N32="não útil",0,N32)</f>
        <v/>
      </c>
      <c r="Q32" s="337">
        <f>P32+Q31</f>
        <v/>
      </c>
      <c r="R32" s="332">
        <f>Q32+$Q$4</f>
        <v/>
      </c>
      <c r="S32" s="47">
        <f>IF(B32=T32,"HOJE",".")</f>
        <v/>
      </c>
      <c r="T32" s="62">
        <f>TODAY()</f>
        <v/>
      </c>
      <c r="U32" s="332">
        <f>IF(S32="HOJE",R32,0)</f>
        <v/>
      </c>
      <c r="V32" s="47" t="n"/>
    </row>
    <row r="33" ht="16.5" customHeight="1" thickBot="1">
      <c r="A33" s="17">
        <f>IF(OR(C33=2,C33=8),"F","U")</f>
        <v/>
      </c>
      <c r="B33" s="46">
        <f>B32+1</f>
        <v/>
      </c>
      <c r="C33" s="393">
        <f>WEEKDAY(B33)+1</f>
        <v/>
      </c>
      <c r="D33" s="305" t="n"/>
      <c r="E33" s="296" t="n"/>
      <c r="F33" s="371" t="n">
        <v>0</v>
      </c>
      <c r="G33" s="372" t="n">
        <v>0</v>
      </c>
      <c r="H33" s="372" t="n">
        <v>0</v>
      </c>
      <c r="I33" s="373" t="n">
        <v>0</v>
      </c>
      <c r="J33" s="340" t="n"/>
      <c r="K33" s="341" t="n"/>
      <c r="L33" s="329">
        <f>IF(A33="U",(G33-F33)+(I33-H33)+(K33-J33),"NÃO ÚTIL")</f>
        <v/>
      </c>
      <c r="M33" s="330">
        <f>IF(A33="U",L7,"NÃO ÚTIL")</f>
        <v/>
      </c>
      <c r="N33" s="331">
        <f>IF(A33="U",(L33-M33),"NÃO ÚTIL")</f>
        <v/>
      </c>
      <c r="O33" s="47" t="n"/>
      <c r="P33" s="332">
        <f>IF(N33="não útil",0,N33)</f>
        <v/>
      </c>
      <c r="Q33" s="337">
        <f>P33+Q32</f>
        <v/>
      </c>
      <c r="R33" s="332">
        <f>Q33+$Q$4</f>
        <v/>
      </c>
      <c r="S33" s="47">
        <f>IF(B33=T33,"HOJE",".")</f>
        <v/>
      </c>
      <c r="T33" s="62">
        <f>TODAY()</f>
        <v/>
      </c>
      <c r="U33" s="332">
        <f>IF(S33="HOJE",R33,0)</f>
        <v/>
      </c>
      <c r="V33" s="47" t="n"/>
    </row>
    <row r="34" ht="16.5" customHeight="1" thickBot="1">
      <c r="A34" s="17">
        <f>IF(OR(C34=2,C34=8),"F","U")</f>
        <v/>
      </c>
      <c r="B34" s="46">
        <f>B33+1</f>
        <v/>
      </c>
      <c r="C34" s="393">
        <f>WEEKDAY(B34)+1</f>
        <v/>
      </c>
      <c r="D34" s="305" t="n"/>
      <c r="E34" s="296" t="n"/>
      <c r="F34" s="371" t="n">
        <v>0</v>
      </c>
      <c r="G34" s="372" t="n">
        <v>0</v>
      </c>
      <c r="H34" s="372" t="n">
        <v>0</v>
      </c>
      <c r="I34" s="373" t="n">
        <v>0</v>
      </c>
      <c r="J34" s="338" t="n"/>
      <c r="K34" s="345" t="n"/>
      <c r="L34" s="329">
        <f>IF(A34="U",(G34-F34)+(I34-H34)+(K34-J34),"NÃO ÚTIL")</f>
        <v/>
      </c>
      <c r="M34" s="330">
        <f>IF(A34="U",L7,"NÃO ÚTIL")</f>
        <v/>
      </c>
      <c r="N34" s="331">
        <f>IF(A34="U",(L34-M34),"NÃO ÚTIL")</f>
        <v/>
      </c>
      <c r="O34" s="47" t="n"/>
      <c r="P34" s="332">
        <f>IF(N34="não útil",0,N34)</f>
        <v/>
      </c>
      <c r="Q34" s="337">
        <f>P34+Q33</f>
        <v/>
      </c>
      <c r="R34" s="332">
        <f>Q34+$Q$4</f>
        <v/>
      </c>
      <c r="S34" s="47">
        <f>IF(B34=T34,"HOJE",".")</f>
        <v/>
      </c>
      <c r="T34" s="62">
        <f>TODAY()</f>
        <v/>
      </c>
      <c r="U34" s="332">
        <f>IF(S34="HOJE",R34,0)</f>
        <v/>
      </c>
      <c r="V34" s="47" t="n"/>
    </row>
    <row r="35" ht="16.5" customHeight="1" thickBot="1">
      <c r="A35" s="17">
        <f>IF(OR(C35=2,C35=8),"F","U")</f>
        <v/>
      </c>
      <c r="B35" s="46">
        <f>B34+1</f>
        <v/>
      </c>
      <c r="C35" s="393">
        <f>WEEKDAY(B35)+1</f>
        <v/>
      </c>
      <c r="D35" s="305" t="n"/>
      <c r="E35" s="296" t="n"/>
      <c r="F35" s="371" t="n">
        <v>0</v>
      </c>
      <c r="G35" s="372" t="n">
        <v>0</v>
      </c>
      <c r="H35" s="372" t="n">
        <v>0</v>
      </c>
      <c r="I35" s="373" t="n">
        <v>0</v>
      </c>
      <c r="J35" s="338" t="n"/>
      <c r="K35" s="339" t="n"/>
      <c r="L35" s="329">
        <f>IF(A35="U",(G35-F35)+(I35-H35)+(K35-J35),"NÃO ÚTIL")</f>
        <v/>
      </c>
      <c r="M35" s="330">
        <f>IF(A35="U",L7,"NÃO ÚTIL")</f>
        <v/>
      </c>
      <c r="N35" s="331">
        <f>IF(A35="U",(L35-M35),"NÃO ÚTIL")</f>
        <v/>
      </c>
      <c r="O35" s="47" t="n"/>
      <c r="P35" s="332">
        <f>IF(N35="não útil",0,N35)</f>
        <v/>
      </c>
      <c r="Q35" s="337">
        <f>P35+Q34</f>
        <v/>
      </c>
      <c r="R35" s="332">
        <f>Q35+$Q$4</f>
        <v/>
      </c>
      <c r="S35" s="47">
        <f>IF(B35=T35,"HOJE",".")</f>
        <v/>
      </c>
      <c r="T35" s="62">
        <f>TODAY()</f>
        <v/>
      </c>
      <c r="U35" s="332">
        <f>IF(S35="HOJE",R35,0)</f>
        <v/>
      </c>
      <c r="V35" s="47" t="n"/>
    </row>
    <row r="36" ht="16.5" customHeight="1" thickBot="1">
      <c r="A36" s="17">
        <f>IF(OR(C36=2,C36=8),"F","U")</f>
        <v/>
      </c>
      <c r="B36" s="46">
        <f>B35+1</f>
        <v/>
      </c>
      <c r="C36" s="393">
        <f>WEEKDAY(B36)+1</f>
        <v/>
      </c>
      <c r="D36" s="305" t="n"/>
      <c r="E36" s="296" t="n"/>
      <c r="F36" s="371" t="n">
        <v>0</v>
      </c>
      <c r="G36" s="372" t="n">
        <v>0</v>
      </c>
      <c r="H36" s="372" t="n">
        <v>0</v>
      </c>
      <c r="I36" s="373" t="n">
        <v>0</v>
      </c>
      <c r="J36" s="335" t="n"/>
      <c r="K36" s="336" t="n"/>
      <c r="L36" s="329">
        <f>IF(A36="U",(G36-F36)+(I36-H36)+(K36-J36),"NÃO ÚTIL")</f>
        <v/>
      </c>
      <c r="M36" s="330">
        <f>IF(A36="U",L7,"NÃO ÚTIL")</f>
        <v/>
      </c>
      <c r="N36" s="331">
        <f>IF(A36="U",(L36-M36),"NÃO ÚTIL")</f>
        <v/>
      </c>
      <c r="O36" s="47" t="n"/>
      <c r="P36" s="332">
        <f>IF(N36="não útil",0,N36)</f>
        <v/>
      </c>
      <c r="Q36" s="337">
        <f>P36+Q35</f>
        <v/>
      </c>
      <c r="R36" s="332">
        <f>Q36+$Q$4</f>
        <v/>
      </c>
      <c r="S36" s="47">
        <f>IF(B36=T36,"HOJE",".")</f>
        <v/>
      </c>
      <c r="T36" s="62">
        <f>TODAY()</f>
        <v/>
      </c>
      <c r="U36" s="332">
        <f>IF(S36="HOJE",R36,0)</f>
        <v/>
      </c>
      <c r="V36" s="47" t="n"/>
    </row>
    <row r="37" ht="16.5" customHeight="1" thickBot="1">
      <c r="A37" s="17">
        <f>IF(OR(C37=2,C37=8),"F","U")</f>
        <v/>
      </c>
      <c r="B37" s="46">
        <f>B36+1</f>
        <v/>
      </c>
      <c r="C37" s="393">
        <f>WEEKDAY(B37)+1</f>
        <v/>
      </c>
      <c r="D37" s="305" t="n"/>
      <c r="E37" s="296" t="n"/>
      <c r="F37" s="371" t="n">
        <v>0</v>
      </c>
      <c r="G37" s="372" t="n">
        <v>0</v>
      </c>
      <c r="H37" s="372" t="n">
        <v>0</v>
      </c>
      <c r="I37" s="373" t="n">
        <v>0</v>
      </c>
      <c r="J37" s="338" t="n"/>
      <c r="K37" s="345" t="n"/>
      <c r="L37" s="329">
        <f>IF(A37="U",(G37-F37)+(I37-H37)+(K37-J37),"NÃO ÚTIL")</f>
        <v/>
      </c>
      <c r="M37" s="330">
        <f>IF(A37="U",L7,"NÃO ÚTIL")</f>
        <v/>
      </c>
      <c r="N37" s="331">
        <f>IF(A37="U",(L37-M37),"NÃO ÚTIL")</f>
        <v/>
      </c>
      <c r="O37" s="47" t="n"/>
      <c r="P37" s="332">
        <f>IF(N37="não útil",0,N37)</f>
        <v/>
      </c>
      <c r="Q37" s="337">
        <f>P37+Q36</f>
        <v/>
      </c>
      <c r="R37" s="332">
        <f>Q37+$Q$4</f>
        <v/>
      </c>
      <c r="S37" s="47">
        <f>IF(B37=T37,"HOJE",".")</f>
        <v/>
      </c>
      <c r="T37" s="62">
        <f>TODAY()</f>
        <v/>
      </c>
      <c r="U37" s="332">
        <f>IF(S37="HOJE",R37,0)</f>
        <v/>
      </c>
      <c r="V37" s="47" t="n"/>
    </row>
    <row r="38" ht="16.5" customHeight="1" thickBot="1">
      <c r="A38" s="17">
        <f>IF(OR(C38=2,C38=8),"F","U")</f>
        <v/>
      </c>
      <c r="B38" s="46">
        <f>B37+1</f>
        <v/>
      </c>
      <c r="C38" s="393">
        <f>WEEKDAY(B38)+1</f>
        <v/>
      </c>
      <c r="D38" s="305" t="n"/>
      <c r="E38" s="296" t="n"/>
      <c r="F38" s="371" t="n">
        <v>0</v>
      </c>
      <c r="G38" s="372" t="n">
        <v>0</v>
      </c>
      <c r="H38" s="372" t="n">
        <v>0</v>
      </c>
      <c r="I38" s="373" t="n">
        <v>0</v>
      </c>
      <c r="J38" s="340" t="n"/>
      <c r="K38" s="345" t="n"/>
      <c r="L38" s="329">
        <f>IF(A38="U",(G38-F38)+(I38-H38)+(K38-J38),"NÃO ÚTIL")</f>
        <v/>
      </c>
      <c r="M38" s="330">
        <f>IF(A38="U",L7,"NÃO ÚTIL")</f>
        <v/>
      </c>
      <c r="N38" s="331">
        <f>IF(A38="U",(L38-M38),"NÃO ÚTIL")</f>
        <v/>
      </c>
      <c r="O38" s="47" t="n"/>
      <c r="P38" s="332">
        <f>IF(N38="não útil",0,N38)</f>
        <v/>
      </c>
      <c r="Q38" s="337">
        <f>P38+Q37</f>
        <v/>
      </c>
      <c r="R38" s="332">
        <f>Q38+$Q$4</f>
        <v/>
      </c>
      <c r="S38" s="47">
        <f>IF(B38=T38,"HOJE",".")</f>
        <v/>
      </c>
      <c r="T38" s="62">
        <f>TODAY()</f>
        <v/>
      </c>
      <c r="U38" s="332">
        <f>IF(S38="HOJE",R38,0)</f>
        <v/>
      </c>
      <c r="V38" s="47" t="n"/>
    </row>
    <row r="39" ht="16.5" customHeight="1" thickBot="1">
      <c r="A39" s="17">
        <f>IF(OR(C39=2,C39=8),"F","U")</f>
        <v/>
      </c>
      <c r="B39" s="46">
        <f>B38+1</f>
        <v/>
      </c>
      <c r="C39" s="393">
        <f>WEEKDAY(B39)+1</f>
        <v/>
      </c>
      <c r="D39" s="305" t="n"/>
      <c r="E39" s="296" t="n"/>
      <c r="F39" s="371" t="n">
        <v>0</v>
      </c>
      <c r="G39" s="372" t="n">
        <v>0</v>
      </c>
      <c r="H39" s="372" t="n">
        <v>0</v>
      </c>
      <c r="I39" s="373" t="n">
        <v>0</v>
      </c>
      <c r="J39" s="377" t="n"/>
      <c r="K39" s="339" t="n"/>
      <c r="L39" s="329">
        <f>IF(A39="U",(G39-F39)+(I39-H39)+(K39-J39),"NÃO ÚTIL")</f>
        <v/>
      </c>
      <c r="M39" s="330">
        <f>IF(A39="U",L7,"NÃO ÚTIL")</f>
        <v/>
      </c>
      <c r="N39" s="331">
        <f>IF(A39="U",(L39-M39),"NÃO ÚTIL")</f>
        <v/>
      </c>
      <c r="O39" s="47" t="n"/>
      <c r="P39" s="332">
        <f>IF(N39="não útil",0,N39)</f>
        <v/>
      </c>
      <c r="Q39" s="337">
        <f>P39+Q38</f>
        <v/>
      </c>
      <c r="R39" s="332">
        <f>Q39+$Q$4</f>
        <v/>
      </c>
      <c r="S39" s="47">
        <f>IF(B39=T39,"HOJE",".")</f>
        <v/>
      </c>
      <c r="T39" s="62">
        <f>TODAY()</f>
        <v/>
      </c>
      <c r="U39" s="332">
        <f>IF(S39="HOJE",R39,0)</f>
        <v/>
      </c>
      <c r="V39" s="47" t="n"/>
    </row>
    <row r="40" ht="16.5" customHeight="1" thickBot="1">
      <c r="A40" s="17">
        <f>IF(OR(C40=2,C40=8),"F","U")</f>
        <v/>
      </c>
      <c r="B40" s="46">
        <f>B39+1</f>
        <v/>
      </c>
      <c r="C40" s="393">
        <f>WEEKDAY(B40)+1</f>
        <v/>
      </c>
      <c r="D40" s="305" t="n"/>
      <c r="E40" s="296" t="n"/>
      <c r="F40" s="371" t="n">
        <v>0</v>
      </c>
      <c r="G40" s="372" t="n">
        <v>0</v>
      </c>
      <c r="H40" s="372" t="n">
        <v>0</v>
      </c>
      <c r="I40" s="373" t="n">
        <v>0</v>
      </c>
      <c r="J40" s="378" t="n"/>
      <c r="K40" s="341" t="n"/>
      <c r="L40" s="329">
        <f>IF(A40="U",(G40-F40)+(I40-H40)+(K40-J40),"NÃO ÚTIL")</f>
        <v/>
      </c>
      <c r="M40" s="330">
        <f>IF(A40="U",L7,"NÃO ÚTIL")</f>
        <v/>
      </c>
      <c r="N40" s="331">
        <f>IF(A40="U",(L40-M40),"NÃO ÚTIL")</f>
        <v/>
      </c>
      <c r="O40" s="47" t="n"/>
      <c r="P40" s="332">
        <f>IF(N40="não útil",0,N40)</f>
        <v/>
      </c>
      <c r="Q40" s="337">
        <f>P40+Q39</f>
        <v/>
      </c>
      <c r="R40" s="332">
        <f>Q40+$Q$4</f>
        <v/>
      </c>
      <c r="S40" s="47">
        <f>IF(B40=T40,"HOJE",".")</f>
        <v/>
      </c>
      <c r="T40" s="62">
        <f>TODAY()</f>
        <v/>
      </c>
      <c r="U40" s="332">
        <f>IF(S40="HOJE",R40,0)</f>
        <v/>
      </c>
      <c r="V40" s="47" t="n"/>
    </row>
    <row r="41" ht="16.5" customHeight="1" thickBot="1">
      <c r="A41" s="17">
        <f>IF(OR(C41=2,C41=8),"F","U")</f>
        <v/>
      </c>
      <c r="B41" s="46">
        <f>B40+1</f>
        <v/>
      </c>
      <c r="C41" s="393">
        <f>WEEKDAY(B41)+1</f>
        <v/>
      </c>
      <c r="D41" s="305" t="n"/>
      <c r="E41" s="296" t="n"/>
      <c r="F41" s="371" t="n">
        <v>0</v>
      </c>
      <c r="G41" s="372" t="n">
        <v>0</v>
      </c>
      <c r="H41" s="372" t="n">
        <v>0</v>
      </c>
      <c r="I41" s="373" t="n">
        <v>0</v>
      </c>
      <c r="J41" s="377" t="n"/>
      <c r="K41" s="339" t="n"/>
      <c r="L41" s="329">
        <f>IF(A41="U",(G41-F41)+(I41-H41)+(K41-J41),"NÃO ÚTIL")</f>
        <v/>
      </c>
      <c r="M41" s="330">
        <f>IF(A41="U",L7,"NÃO ÚTIL")</f>
        <v/>
      </c>
      <c r="N41" s="331">
        <f>IF(A41="U",(L41-M41),"NÃO ÚTIL")</f>
        <v/>
      </c>
      <c r="O41" s="47" t="n"/>
      <c r="P41" s="332">
        <f>IF(N41="não útil",0,N41)</f>
        <v/>
      </c>
      <c r="Q41" s="337">
        <f>P41+Q40</f>
        <v/>
      </c>
      <c r="R41" s="332">
        <f>Q41+$Q$4</f>
        <v/>
      </c>
      <c r="S41" s="47">
        <f>IF(B41=T41,"HOJE",".")</f>
        <v/>
      </c>
      <c r="T41" s="62">
        <f>TODAY()</f>
        <v/>
      </c>
      <c r="U41" s="332">
        <f>IF(S41="HOJE",R41,0)</f>
        <v/>
      </c>
      <c r="V41" s="47" t="n"/>
    </row>
    <row r="42" ht="16.5" customHeight="1" thickBot="1">
      <c r="A42" s="17">
        <f>IF(OR(C42=2,C42=8),"F","U")</f>
        <v/>
      </c>
      <c r="B42" s="46">
        <f>B41+1</f>
        <v/>
      </c>
      <c r="C42" s="393">
        <f>WEEKDAY(B42)+1</f>
        <v/>
      </c>
      <c r="D42" s="305" t="n"/>
      <c r="E42" s="296" t="n"/>
      <c r="F42" s="371" t="n">
        <v>0</v>
      </c>
      <c r="G42" s="372" t="n">
        <v>0</v>
      </c>
      <c r="H42" s="372" t="n">
        <v>0</v>
      </c>
      <c r="I42" s="373" t="n">
        <v>0</v>
      </c>
      <c r="J42" s="377" t="n"/>
      <c r="K42" s="341" t="n"/>
      <c r="L42" s="329">
        <f>IF(A42="U",(G42-F42)+(I42-H42)+(K42-J42),"NÃO ÚTIL")</f>
        <v/>
      </c>
      <c r="M42" s="330">
        <f>IF(A42="U",L7,"NÃO ÚTIL")</f>
        <v/>
      </c>
      <c r="N42" s="331">
        <f>IF(A42="U",(L42-M42),"NÃO ÚTIL")</f>
        <v/>
      </c>
      <c r="O42" s="47" t="n"/>
      <c r="P42" s="332">
        <f>IF(N42="não útil",0,N42)</f>
        <v/>
      </c>
      <c r="Q42" s="337">
        <f>P42+Q41</f>
        <v/>
      </c>
      <c r="R42" s="332">
        <f>Q42+$Q$4</f>
        <v/>
      </c>
      <c r="S42" s="47">
        <f>IF(B42=T42,"HOJE",".")</f>
        <v/>
      </c>
      <c r="T42" s="62">
        <f>TODAY()</f>
        <v/>
      </c>
      <c r="U42" s="332">
        <f>IF(S42="HOJE",R42,0)</f>
        <v/>
      </c>
      <c r="V42" s="47" t="n"/>
    </row>
    <row r="43" ht="16.5" customHeight="1" thickBot="1">
      <c r="A43" s="17">
        <f>IF(OR(C43=2,C43=8),"F","U")</f>
        <v/>
      </c>
      <c r="B43" s="46">
        <f>B42+1</f>
        <v/>
      </c>
      <c r="C43" s="393">
        <f>WEEKDAY(B43)+1</f>
        <v/>
      </c>
      <c r="D43" s="305" t="n"/>
      <c r="E43" s="296" t="n"/>
      <c r="F43" s="371" t="n">
        <v>0</v>
      </c>
      <c r="G43" s="372" t="n">
        <v>0</v>
      </c>
      <c r="H43" s="372" t="n">
        <v>0</v>
      </c>
      <c r="I43" s="373" t="n">
        <v>0</v>
      </c>
      <c r="J43" s="377" t="n"/>
      <c r="K43" s="339" t="n"/>
      <c r="L43" s="329">
        <f>IF(A43="U",(G43-F43)+(I43-H43)+(K43-J43),"NÃO ÚTIL")</f>
        <v/>
      </c>
      <c r="M43" s="330">
        <f>IF(A43="U",L7,"NÃO ÚTIL")</f>
        <v/>
      </c>
      <c r="N43" s="331">
        <f>IF(A43="U",(L43-M43),"NÃO ÚTIL")</f>
        <v/>
      </c>
      <c r="O43" s="47" t="n"/>
      <c r="P43" s="332">
        <f>IF(N43="não útil",0,N43)</f>
        <v/>
      </c>
      <c r="Q43" s="337">
        <f>P43+Q42</f>
        <v/>
      </c>
      <c r="R43" s="332">
        <f>Q43+$Q$4</f>
        <v/>
      </c>
      <c r="S43" s="47">
        <f>IF(B43=T43,"HOJE",".")</f>
        <v/>
      </c>
      <c r="T43" s="62">
        <f>TODAY()</f>
        <v/>
      </c>
      <c r="U43" s="332">
        <f>IF(S43="HOJE",R43,0)</f>
        <v/>
      </c>
      <c r="V43" s="47" t="n"/>
    </row>
    <row r="44" ht="16.5" customHeight="1" thickBot="1">
      <c r="A44" s="17">
        <f>IF(OR(C44=2,C44=8),"F","U")</f>
        <v/>
      </c>
      <c r="B44" s="46">
        <f>B43+1</f>
        <v/>
      </c>
      <c r="C44" s="393">
        <f>WEEKDAY(B44)+1</f>
        <v/>
      </c>
      <c r="D44" s="305" t="n"/>
      <c r="E44" s="296" t="n"/>
      <c r="F44" s="371" t="n">
        <v>0</v>
      </c>
      <c r="G44" s="372" t="n">
        <v>0</v>
      </c>
      <c r="H44" s="372" t="n">
        <v>0</v>
      </c>
      <c r="I44" s="373" t="n">
        <v>0</v>
      </c>
      <c r="J44" s="377" t="n"/>
      <c r="K44" s="339" t="n"/>
      <c r="L44" s="329">
        <f>IF(A44="U",(G44-F44)+(I44-H44)+(K44-J44),"NÃO ÚTIL")</f>
        <v/>
      </c>
      <c r="M44" s="330">
        <f>IF(A44="U",L7,"NÃO ÚTIL")</f>
        <v/>
      </c>
      <c r="N44" s="331">
        <f>IF(A44="U",(L44-M44),"NÃO ÚTIL")</f>
        <v/>
      </c>
      <c r="O44" s="47" t="n"/>
      <c r="P44" s="332">
        <f>IF(N44="não útil",0,N44)</f>
        <v/>
      </c>
      <c r="Q44" s="337">
        <f>P44+Q43</f>
        <v/>
      </c>
      <c r="R44" s="332">
        <f>Q44+$Q$4</f>
        <v/>
      </c>
      <c r="S44" s="47">
        <f>IF(B44=T44,"HOJE",".")</f>
        <v/>
      </c>
      <c r="T44" s="62">
        <f>TODAY()</f>
        <v/>
      </c>
      <c r="U44" s="332">
        <f>IF(S44="HOJE",R44,0)</f>
        <v/>
      </c>
      <c r="V44" s="47" t="n"/>
    </row>
    <row r="45" ht="23.25" customHeight="1" thickBot="1">
      <c r="A45" s="346" t="inlineStr">
        <is>
          <t>TOTAL MÊS:</t>
        </is>
      </c>
      <c r="B45" s="347" t="n"/>
      <c r="C45" s="347" t="n"/>
      <c r="D45" s="347" t="n"/>
      <c r="E45" s="347" t="n"/>
      <c r="F45" s="347" t="n"/>
      <c r="G45" s="347" t="n"/>
      <c r="H45" s="347" t="n"/>
      <c r="I45" s="347" t="n"/>
      <c r="J45" s="347" t="n"/>
      <c r="K45" s="348" t="n"/>
      <c r="L45" s="349">
        <f>SUM(L14:L43)</f>
        <v/>
      </c>
      <c r="M45" s="349">
        <f>SUM(M14:M44)</f>
        <v/>
      </c>
      <c r="N45" s="350">
        <f>SUM(N14:N44)</f>
        <v/>
      </c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 ht="12" customHeight="1" thickBot="1">
      <c r="A46" s="247" t="inlineStr">
        <is>
          <t>OBS:</t>
        </is>
      </c>
      <c r="B46" s="292" t="n"/>
      <c r="C46" s="160" t="n"/>
      <c r="D46" s="292" t="n"/>
      <c r="E46" s="292" t="n"/>
      <c r="F46" s="292" t="n"/>
      <c r="G46" s="292" t="n"/>
      <c r="H46" s="292" t="n"/>
      <c r="I46" s="293" t="n"/>
      <c r="J46" s="161" t="n"/>
      <c r="K46" s="347" t="n"/>
      <c r="L46" s="347" t="n"/>
      <c r="M46" s="347" t="n"/>
      <c r="N46" s="352" t="inlineStr">
        <is>
          <t>HORA (S)</t>
        </is>
      </c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 ht="12" customHeight="1" thickBot="1">
      <c r="A47" s="106" t="n"/>
      <c r="B47" s="297" t="n"/>
      <c r="C47" s="297" t="n"/>
      <c r="D47" s="297" t="n"/>
      <c r="E47" s="297" t="n"/>
      <c r="F47" s="297" t="n"/>
      <c r="G47" s="297" t="n"/>
      <c r="H47" s="297" t="n"/>
      <c r="I47" s="298" t="n"/>
      <c r="J47" s="353" t="inlineStr">
        <is>
          <t>CARGA HORÁRIA TRABAHADA (MÊS)</t>
        </is>
      </c>
      <c r="K47" s="354" t="n"/>
      <c r="L47" s="355" t="n"/>
      <c r="M47" s="356">
        <f>L45</f>
        <v/>
      </c>
      <c r="N47" s="355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 ht="12" customHeight="1" thickBot="1">
      <c r="A48" s="106" t="n"/>
      <c r="B48" s="297" t="n"/>
      <c r="C48" s="297" t="n"/>
      <c r="D48" s="297" t="n"/>
      <c r="E48" s="297" t="n"/>
      <c r="F48" s="297" t="n"/>
      <c r="G48" s="297" t="n"/>
      <c r="H48" s="297" t="n"/>
      <c r="I48" s="298" t="n"/>
      <c r="J48" s="322" t="n"/>
      <c r="K48" s="322" t="n"/>
      <c r="L48" s="318" t="n"/>
      <c r="M48" s="321" t="n"/>
      <c r="N48" s="318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12" customHeight="1" thickBot="1">
      <c r="A49" s="106" t="n"/>
      <c r="B49" s="297" t="n"/>
      <c r="C49" s="297" t="n"/>
      <c r="D49" s="297" t="n"/>
      <c r="E49" s="297" t="n"/>
      <c r="F49" s="297" t="n"/>
      <c r="G49" s="297" t="n"/>
      <c r="H49" s="297" t="n"/>
      <c r="I49" s="298" t="n"/>
      <c r="J49" s="353" t="inlineStr">
        <is>
          <t>CARGA HORÁRIA PREVISTA (MÊS)</t>
        </is>
      </c>
      <c r="K49" s="354" t="n"/>
      <c r="L49" s="355" t="n"/>
      <c r="M49" s="356">
        <f>M45</f>
        <v/>
      </c>
      <c r="N49" s="355" t="n"/>
      <c r="O49" s="47" t="n"/>
      <c r="P49" s="47" t="n"/>
      <c r="Q49" s="47" t="n"/>
      <c r="R49" s="47" t="n"/>
      <c r="S49" s="47" t="n"/>
      <c r="T49" s="47" t="n"/>
      <c r="U49" s="47" t="n"/>
      <c r="V49" s="47" t="n"/>
    </row>
    <row r="50" ht="12" customHeight="1" thickBot="1">
      <c r="A50" s="106" t="n"/>
      <c r="B50" s="297" t="n"/>
      <c r="C50" s="297" t="n"/>
      <c r="D50" s="297" t="n"/>
      <c r="E50" s="297" t="n"/>
      <c r="F50" s="297" t="n"/>
      <c r="G50" s="297" t="n"/>
      <c r="H50" s="297" t="n"/>
      <c r="I50" s="298" t="n"/>
      <c r="J50" s="322" t="n"/>
      <c r="K50" s="322" t="n"/>
      <c r="L50" s="318" t="n"/>
      <c r="M50" s="321" t="n"/>
      <c r="N50" s="318" t="n"/>
      <c r="O50" s="47" t="n"/>
      <c r="P50" s="47" t="n"/>
      <c r="Q50" s="47" t="n"/>
      <c r="R50" s="47" t="n"/>
      <c r="S50" s="47" t="n"/>
      <c r="T50" s="47" t="n"/>
      <c r="U50" s="47" t="n"/>
      <c r="V50" s="47" t="n"/>
    </row>
    <row r="51" ht="12" customHeight="1" thickBot="1">
      <c r="A51" s="106" t="n"/>
      <c r="B51" s="297" t="n"/>
      <c r="C51" s="297" t="n"/>
      <c r="D51" s="297" t="n"/>
      <c r="E51" s="297" t="n"/>
      <c r="F51" s="297" t="n"/>
      <c r="G51" s="297" t="n"/>
      <c r="H51" s="297" t="n"/>
      <c r="I51" s="298" t="n"/>
      <c r="J51" s="357" t="inlineStr">
        <is>
          <t>SALDO CARGA HORÁRIA (MÊS)</t>
        </is>
      </c>
      <c r="K51" s="354" t="n"/>
      <c r="L51" s="355" t="n"/>
      <c r="M51" s="356">
        <f>N45</f>
        <v/>
      </c>
      <c r="N51" s="355" t="n"/>
      <c r="O51" s="47" t="n"/>
      <c r="P51" s="47" t="n"/>
      <c r="Q51" s="47" t="n"/>
      <c r="R51" s="47" t="n"/>
      <c r="S51" s="47" t="n"/>
      <c r="T51" s="47" t="n"/>
      <c r="U51" s="47" t="n"/>
      <c r="V51" s="47" t="n"/>
    </row>
    <row r="52" ht="12" customHeight="1" thickBot="1">
      <c r="A52" s="106" t="n"/>
      <c r="B52" s="297" t="n"/>
      <c r="C52" s="297" t="n"/>
      <c r="D52" s="297" t="n"/>
      <c r="E52" s="297" t="n"/>
      <c r="F52" s="297" t="n"/>
      <c r="G52" s="297" t="n"/>
      <c r="H52" s="297" t="n"/>
      <c r="I52" s="298" t="n"/>
      <c r="J52" s="322" t="n"/>
      <c r="K52" s="322" t="n"/>
      <c r="L52" s="318" t="n"/>
      <c r="M52" s="321" t="n"/>
      <c r="N52" s="318" t="n"/>
      <c r="O52" s="47" t="n"/>
      <c r="P52" s="47" t="n"/>
      <c r="Q52" s="47" t="n"/>
      <c r="R52" s="47" t="n"/>
      <c r="S52" s="47" t="n"/>
      <c r="T52" s="47" t="n"/>
      <c r="U52" s="47" t="n"/>
      <c r="V52" s="47" t="n"/>
    </row>
    <row r="53" ht="12" customHeight="1">
      <c r="A53" s="106" t="n"/>
      <c r="B53" s="297" t="n"/>
      <c r="C53" s="297" t="n"/>
      <c r="D53" s="297" t="n"/>
      <c r="E53" s="297" t="n"/>
      <c r="F53" s="297" t="n"/>
      <c r="G53" s="297" t="n"/>
      <c r="H53" s="297" t="n"/>
      <c r="I53" s="298" t="n"/>
      <c r="J53" s="357" t="inlineStr">
        <is>
          <t>SALDO MÊS ANTERIOR</t>
        </is>
      </c>
      <c r="K53" s="354" t="n"/>
      <c r="L53" s="355" t="n"/>
      <c r="M53" s="356">
        <f>JUL!M55</f>
        <v/>
      </c>
      <c r="N53" s="355" t="n"/>
      <c r="O53" s="47" t="n"/>
      <c r="P53" s="47" t="n"/>
      <c r="Q53" s="47" t="n"/>
      <c r="R53" s="47" t="n"/>
      <c r="S53" s="47" t="n"/>
      <c r="T53" s="47" t="n"/>
      <c r="U53" s="47" t="n"/>
      <c r="V53" s="47" t="n"/>
    </row>
    <row r="54" ht="12" customHeight="1" thickBot="1">
      <c r="A54" s="106" t="n"/>
      <c r="B54" s="297" t="n"/>
      <c r="C54" s="297" t="n"/>
      <c r="D54" s="297" t="n"/>
      <c r="E54" s="297" t="n"/>
      <c r="F54" s="297" t="n"/>
      <c r="G54" s="297" t="n"/>
      <c r="H54" s="297" t="n"/>
      <c r="I54" s="298" t="n"/>
      <c r="J54" s="322" t="n"/>
      <c r="K54" s="322" t="n"/>
      <c r="L54" s="318" t="n"/>
      <c r="M54" s="321" t="n"/>
      <c r="N54" s="318" t="n"/>
      <c r="O54" s="47" t="n"/>
      <c r="P54" s="47" t="n"/>
      <c r="Q54" s="47" t="n"/>
      <c r="R54" s="47" t="n"/>
      <c r="S54" s="47" t="n"/>
      <c r="T54" s="47" t="n"/>
      <c r="U54" s="47" t="n"/>
      <c r="V54" s="47" t="n"/>
    </row>
    <row r="55" ht="12" customHeight="1">
      <c r="A55" s="106" t="n"/>
      <c r="B55" s="297" t="n"/>
      <c r="C55" s="297" t="n"/>
      <c r="D55" s="297" t="n"/>
      <c r="E55" s="297" t="n"/>
      <c r="F55" s="297" t="n"/>
      <c r="G55" s="297" t="n"/>
      <c r="H55" s="297" t="n"/>
      <c r="I55" s="298" t="n"/>
      <c r="J55" s="362" t="inlineStr">
        <is>
          <t>SALDO TOTAL</t>
        </is>
      </c>
      <c r="K55" s="354" t="n"/>
      <c r="L55" s="355" t="n"/>
      <c r="M55" s="356">
        <f>SUM(M51:N54)</f>
        <v/>
      </c>
      <c r="N55" s="355" t="n"/>
      <c r="O55" s="47" t="n"/>
      <c r="P55" s="47" t="n"/>
      <c r="Q55" s="47" t="n"/>
      <c r="R55" s="47" t="n"/>
      <c r="S55" s="47" t="n"/>
      <c r="T55" s="47" t="n"/>
      <c r="U55" s="47" t="n"/>
      <c r="V55" s="47" t="n"/>
    </row>
    <row r="56" ht="12" customHeight="1" thickBot="1">
      <c r="A56" s="106" t="n"/>
      <c r="B56" s="297" t="n"/>
      <c r="C56" s="297" t="n"/>
      <c r="D56" s="297" t="n"/>
      <c r="E56" s="297" t="n"/>
      <c r="F56" s="297" t="n"/>
      <c r="G56" s="297" t="n"/>
      <c r="H56" s="297" t="n"/>
      <c r="I56" s="298" t="n"/>
      <c r="J56" s="322" t="n"/>
      <c r="K56" s="322" t="n"/>
      <c r="L56" s="318" t="n"/>
      <c r="M56" s="321" t="n"/>
      <c r="N56" s="318" t="n"/>
      <c r="O56" s="47" t="n"/>
      <c r="P56" s="47" t="n"/>
      <c r="Q56" s="47" t="n"/>
      <c r="R56" s="47" t="n"/>
      <c r="S56" s="47" t="n"/>
      <c r="T56" s="47" t="n"/>
      <c r="U56" s="47" t="n"/>
      <c r="V56" s="47" t="n"/>
    </row>
    <row r="57" ht="12" customHeight="1" thickBot="1">
      <c r="A57" s="106" t="n"/>
      <c r="B57" s="297" t="n"/>
      <c r="C57" s="297" t="n"/>
      <c r="D57" s="297" t="n"/>
      <c r="E57" s="297" t="n"/>
      <c r="F57" s="297" t="n"/>
      <c r="G57" s="297" t="n"/>
      <c r="H57" s="297" t="n"/>
      <c r="I57" s="298" t="n"/>
      <c r="J57" s="357" t="inlineStr">
        <is>
          <t>SALDO: CREDOR? DEVEDOR?</t>
        </is>
      </c>
      <c r="K57" s="354" t="n"/>
      <c r="L57" s="355" t="n"/>
      <c r="M57" s="363">
        <f>IF(M55&lt;0,"DVEEDOR","CREDOR")</f>
        <v/>
      </c>
      <c r="N57" s="355" t="n"/>
      <c r="O57" s="47" t="n"/>
      <c r="P57" s="47" t="n"/>
      <c r="Q57" s="47" t="n"/>
      <c r="R57" s="47" t="n"/>
      <c r="S57" s="47" t="n"/>
      <c r="T57" s="47" t="n"/>
      <c r="U57" s="47" t="n"/>
      <c r="V57" s="47" t="n"/>
    </row>
    <row r="58" ht="12" customHeight="1" thickBot="1">
      <c r="A58" s="106" t="n"/>
      <c r="B58" s="297" t="n"/>
      <c r="C58" s="297" t="n"/>
      <c r="D58" s="297" t="n"/>
      <c r="E58" s="297" t="n"/>
      <c r="F58" s="297" t="n"/>
      <c r="G58" s="297" t="n"/>
      <c r="H58" s="297" t="n"/>
      <c r="I58" s="298" t="n"/>
      <c r="J58" s="322" t="n"/>
      <c r="K58" s="322" t="n"/>
      <c r="L58" s="318" t="n"/>
      <c r="M58" s="321" t="n"/>
      <c r="N58" s="318" t="n"/>
      <c r="O58" s="47" t="n"/>
      <c r="P58" s="47" t="n"/>
      <c r="Q58" s="47" t="n"/>
      <c r="R58" s="47" t="n"/>
      <c r="S58" s="47" t="n"/>
      <c r="T58" s="47" t="n"/>
      <c r="U58" s="47" t="n"/>
      <c r="V58" s="47" t="n"/>
    </row>
    <row r="59" ht="12" customHeight="1">
      <c r="A59" s="106" t="n"/>
      <c r="B59" s="297" t="n"/>
      <c r="C59" s="297" t="n"/>
      <c r="D59" s="297" t="n"/>
      <c r="E59" s="297" t="n"/>
      <c r="F59" s="297" t="n"/>
      <c r="G59" s="297" t="n"/>
      <c r="H59" s="297" t="n"/>
      <c r="I59" s="298" t="n"/>
      <c r="J59" s="260" t="n"/>
      <c r="K59" s="354" t="n"/>
      <c r="L59" s="355" t="n"/>
      <c r="M59" s="364" t="n"/>
      <c r="N59" s="355" t="n"/>
      <c r="O59" s="47" t="n"/>
      <c r="P59" s="47" t="n"/>
      <c r="Q59" s="47" t="n"/>
      <c r="R59" s="47" t="n"/>
      <c r="S59" s="47" t="n"/>
      <c r="T59" s="47" t="n"/>
      <c r="U59" s="47" t="n"/>
      <c r="V59" s="47" t="n"/>
    </row>
    <row r="60" ht="12" customHeight="1" thickBot="1">
      <c r="A60" s="106" t="n"/>
      <c r="B60" s="297" t="n"/>
      <c r="C60" s="297" t="n"/>
      <c r="D60" s="297" t="n"/>
      <c r="E60" s="297" t="n"/>
      <c r="F60" s="297" t="n"/>
      <c r="G60" s="297" t="n"/>
      <c r="H60" s="297" t="n"/>
      <c r="I60" s="298" t="n"/>
      <c r="J60" s="322" t="n"/>
      <c r="K60" s="322" t="n"/>
      <c r="L60" s="318" t="n"/>
      <c r="M60" s="321" t="n"/>
      <c r="N60" s="318" t="n"/>
      <c r="O60" s="47" t="n"/>
      <c r="P60" s="47" t="n"/>
      <c r="Q60" s="47" t="n"/>
      <c r="R60" s="47" t="n"/>
      <c r="S60" s="47" t="n"/>
      <c r="T60" s="47" t="n"/>
      <c r="U60" s="47" t="n"/>
      <c r="V60" s="47" t="n"/>
    </row>
    <row r="61" ht="12" customHeight="1" thickBot="1">
      <c r="A61" s="116" t="n"/>
      <c r="B61" s="312" t="n"/>
      <c r="C61" s="312" t="n"/>
      <c r="D61" s="312" t="n"/>
      <c r="E61" s="312" t="n"/>
      <c r="F61" s="312" t="n"/>
      <c r="G61" s="312" t="n"/>
      <c r="H61" s="312" t="n"/>
      <c r="I61" s="313" t="n"/>
      <c r="J61" s="111" t="n"/>
      <c r="K61" s="322" t="n"/>
      <c r="L61" s="318" t="n"/>
      <c r="M61" s="394" t="n"/>
      <c r="N61" s="318" t="n"/>
      <c r="O61" s="47" t="n"/>
      <c r="P61" s="47" t="n"/>
      <c r="Q61" s="47" t="n"/>
      <c r="R61" s="47" t="n"/>
      <c r="S61" s="47" t="n"/>
      <c r="T61" s="47" t="n"/>
      <c r="U61" s="47" t="n"/>
      <c r="V61" s="47" t="n"/>
    </row>
    <row r="62" ht="15" customHeight="1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104" t="inlineStr">
        <is>
          <t>Colaboração do Tônio</t>
        </is>
      </c>
      <c r="M62" s="354" t="n"/>
      <c r="N62" s="354" t="n"/>
      <c r="O62" s="47" t="n"/>
      <c r="P62" s="47" t="n"/>
      <c r="Q62" s="47" t="n"/>
      <c r="R62" s="47" t="n"/>
      <c r="S62" s="47" t="n"/>
      <c r="T62" s="47" t="n"/>
      <c r="U62" s="47" t="n"/>
      <c r="V62" s="47" t="n"/>
    </row>
  </sheetData>
  <mergeCells count="94">
    <mergeCell ref="C44:E44"/>
    <mergeCell ref="A12:E13"/>
    <mergeCell ref="C31:E31"/>
    <mergeCell ref="J10:K10"/>
    <mergeCell ref="C40:E40"/>
    <mergeCell ref="A56:I56"/>
    <mergeCell ref="C21:E21"/>
    <mergeCell ref="M57:N58"/>
    <mergeCell ref="A7:B7"/>
    <mergeCell ref="C23:E23"/>
    <mergeCell ref="A53:I53"/>
    <mergeCell ref="R12:S12"/>
    <mergeCell ref="J59:L60"/>
    <mergeCell ref="C18:E18"/>
    <mergeCell ref="J61:L61"/>
    <mergeCell ref="J55:L56"/>
    <mergeCell ref="M49:N50"/>
    <mergeCell ref="C34:E34"/>
    <mergeCell ref="A48:I48"/>
    <mergeCell ref="C42:E42"/>
    <mergeCell ref="A59:I59"/>
    <mergeCell ref="A61:I61"/>
    <mergeCell ref="J47:L48"/>
    <mergeCell ref="C20:E20"/>
    <mergeCell ref="C25:E25"/>
    <mergeCell ref="C8:I8"/>
    <mergeCell ref="A11:B11"/>
    <mergeCell ref="C22:E22"/>
    <mergeCell ref="L8:N8"/>
    <mergeCell ref="J51:L52"/>
    <mergeCell ref="J57:L58"/>
    <mergeCell ref="C39:E39"/>
    <mergeCell ref="A46:B46"/>
    <mergeCell ref="C32:E32"/>
    <mergeCell ref="C38:E38"/>
    <mergeCell ref="A52:I52"/>
    <mergeCell ref="A3:N3"/>
    <mergeCell ref="J49:L50"/>
    <mergeCell ref="A5:N5"/>
    <mergeCell ref="A8:B8"/>
    <mergeCell ref="C15:E15"/>
    <mergeCell ref="F11:H11"/>
    <mergeCell ref="C24:E24"/>
    <mergeCell ref="H12:I12"/>
    <mergeCell ref="C33:E33"/>
    <mergeCell ref="J12:K12"/>
    <mergeCell ref="A49:I49"/>
    <mergeCell ref="A4:N4"/>
    <mergeCell ref="M51:N52"/>
    <mergeCell ref="C26:E26"/>
    <mergeCell ref="C46:I46"/>
    <mergeCell ref="C35:E35"/>
    <mergeCell ref="C16:E16"/>
    <mergeCell ref="L62:N62"/>
    <mergeCell ref="K9:L9"/>
    <mergeCell ref="J46:M46"/>
    <mergeCell ref="C7:I7"/>
    <mergeCell ref="A55:I55"/>
    <mergeCell ref="A45:K45"/>
    <mergeCell ref="K6:N6"/>
    <mergeCell ref="C11:E11"/>
    <mergeCell ref="C36:E36"/>
    <mergeCell ref="A57:I57"/>
    <mergeCell ref="M53:N54"/>
    <mergeCell ref="M47:N48"/>
    <mergeCell ref="C28:E28"/>
    <mergeCell ref="C37:E37"/>
    <mergeCell ref="M59:N60"/>
    <mergeCell ref="A2:N2"/>
    <mergeCell ref="C10:I10"/>
    <mergeCell ref="C30:E30"/>
    <mergeCell ref="C14:E14"/>
    <mergeCell ref="C9:I9"/>
    <mergeCell ref="I11:N11"/>
    <mergeCell ref="P12:Q12"/>
    <mergeCell ref="C41:E41"/>
    <mergeCell ref="A50:I50"/>
    <mergeCell ref="C43:E43"/>
    <mergeCell ref="A6:B6"/>
    <mergeCell ref="F12:G12"/>
    <mergeCell ref="C27:E27"/>
    <mergeCell ref="A47:I47"/>
    <mergeCell ref="J53:L54"/>
    <mergeCell ref="C17:E17"/>
    <mergeCell ref="C6:I6"/>
    <mergeCell ref="C19:E19"/>
    <mergeCell ref="J7:K7"/>
    <mergeCell ref="A58:I58"/>
    <mergeCell ref="M61:N61"/>
    <mergeCell ref="M55:N56"/>
    <mergeCell ref="A51:I51"/>
    <mergeCell ref="A60:I60"/>
    <mergeCell ref="C29:E29"/>
    <mergeCell ref="A54:I54"/>
  </mergeCells>
  <conditionalFormatting sqref="A14:A44">
    <cfRule type="containsText" priority="49" operator="containsText" dxfId="25" stopIfTrue="1" text="F">
      <formula>NOT(ISERROR(SEARCH("F",A14)))</formula>
    </cfRule>
  </conditionalFormatting>
  <conditionalFormatting sqref="C14:E44">
    <cfRule type="cellIs" priority="47" operator="equal" dxfId="11" stopIfTrue="1">
      <formula>2</formula>
    </cfRule>
    <cfRule type="cellIs" priority="48" operator="equal" dxfId="11" stopIfTrue="1">
      <formula>8</formula>
    </cfRule>
  </conditionalFormatting>
  <conditionalFormatting sqref="L45">
    <cfRule type="cellIs" priority="42" operator="equal" dxfId="10" stopIfTrue="1">
      <formula>0</formula>
    </cfRule>
  </conditionalFormatting>
  <conditionalFormatting sqref="L14:M44">
    <cfRule type="cellIs" priority="44" operator="equal" dxfId="10" stopIfTrue="1">
      <formula>0</formula>
    </cfRule>
  </conditionalFormatting>
  <conditionalFormatting sqref="L14:N45">
    <cfRule type="cellIs" priority="43" operator="greaterThan" dxfId="10" stopIfTrue="1">
      <formula>0</formula>
    </cfRule>
    <cfRule type="cellIs" priority="45" operator="lessThan" dxfId="11" stopIfTrue="1">
      <formula>0</formula>
    </cfRule>
  </conditionalFormatting>
  <conditionalFormatting sqref="M47:N48">
    <cfRule type="cellIs" priority="38" operator="equal" dxfId="10" stopIfTrue="1">
      <formula>0</formula>
    </cfRule>
  </conditionalFormatting>
  <conditionalFormatting sqref="M47:N52 M53 M55 M57:N58 M59">
    <cfRule type="cellIs" priority="40" operator="greaterThan" dxfId="10" stopIfTrue="1">
      <formula>0</formula>
    </cfRule>
    <cfRule type="cellIs" priority="41" operator="lessThan" dxfId="11" stopIfTrue="1">
      <formula>0</formula>
    </cfRule>
  </conditionalFormatting>
  <conditionalFormatting sqref="M51:N52 M53 M55">
    <cfRule type="cellIs" priority="39" operator="equal" dxfId="14" stopIfTrue="1">
      <formula>0</formula>
    </cfRule>
  </conditionalFormatting>
  <conditionalFormatting sqref="M57:N58 M59">
    <cfRule type="cellIs" priority="35" operator="equal" dxfId="13" stopIfTrue="1">
      <formula>0</formula>
    </cfRule>
  </conditionalFormatting>
  <conditionalFormatting sqref="N14:N44">
    <cfRule type="cellIs" priority="46" operator="equal" dxfId="10" stopIfTrue="1">
      <formula>0</formula>
    </cfRule>
  </conditionalFormatting>
  <conditionalFormatting sqref="N14:N45">
    <cfRule type="cellIs" priority="50" operator="equal" dxfId="4" stopIfTrue="1">
      <formula>0</formula>
    </cfRule>
  </conditionalFormatting>
  <pageMargins left="0.1181102362204725" right="0.1181102362204725" top="0.5905511811023623" bottom="0.5905511811023623" header="0.3149606299212598" footer="0.3149606299212598"/>
  <pageSetup orientation="portrait" paperSize="9" scale="80" horizontalDpi="0" verticalDpi="0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62"/>
  <sheetViews>
    <sheetView topLeftCell="C1" workbookViewId="0">
      <selection activeCell="H16" sqref="H16"/>
    </sheetView>
  </sheetViews>
  <sheetFormatPr baseColWidth="8" defaultRowHeight="15"/>
  <cols>
    <col width="3.140625" customWidth="1" min="4" max="4"/>
    <col width="11.28515625" customWidth="1" min="16" max="16"/>
    <col width="12.140625" customWidth="1" min="19" max="19"/>
    <col hidden="1" width="12.140625" customWidth="1" min="20" max="20"/>
    <col width="12.140625" customWidth="1" min="21" max="21"/>
  </cols>
  <sheetData>
    <row r="1">
      <c r="A1" s="52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4" t="n"/>
    </row>
    <row r="2" ht="15.75" customHeight="1">
      <c r="A2" s="286" t="inlineStr">
        <is>
          <t>GOVERNO DO ESTADO DO ESPÍRITO SANTO</t>
        </is>
      </c>
      <c r="N2" s="287" t="n"/>
    </row>
    <row r="3" ht="19.5" customHeight="1">
      <c r="A3" s="286" t="inlineStr">
        <is>
          <t>SUPERINTENDÊNCIA REGIONAL DE EDUCAÇÃO DE CARAPINA</t>
        </is>
      </c>
      <c r="N3" s="287" t="n"/>
    </row>
    <row r="4" ht="25.5" customHeight="1">
      <c r="A4" s="288" t="inlineStr">
        <is>
          <t>CARTÃO DE PONTO</t>
        </is>
      </c>
      <c r="N4" s="287" t="n"/>
      <c r="Q4" s="289" t="n">
        <v>0</v>
      </c>
      <c r="R4" t="inlineStr">
        <is>
          <t>saldo anterior</t>
        </is>
      </c>
    </row>
    <row r="5" ht="6.75" customHeight="1" thickBot="1">
      <c r="A5" s="290" t="n"/>
      <c r="N5" s="287" t="n"/>
    </row>
    <row r="6" ht="15.75" customHeight="1">
      <c r="A6" s="186" t="inlineStr">
        <is>
          <t xml:space="preserve">NOME: </t>
        </is>
      </c>
      <c r="B6" s="291" t="n"/>
      <c r="C6" s="188" t="n"/>
      <c r="D6" s="292" t="n"/>
      <c r="E6" s="292" t="n"/>
      <c r="F6" s="292" t="n"/>
      <c r="G6" s="292" t="n"/>
      <c r="H6" s="292" t="n"/>
      <c r="I6" s="293" t="n"/>
      <c r="J6" s="1" t="inlineStr">
        <is>
          <t>MÊS:</t>
        </is>
      </c>
      <c r="K6" s="294" t="n">
        <v>43708</v>
      </c>
      <c r="L6" s="292" t="n"/>
      <c r="M6" s="292" t="n"/>
      <c r="N6" s="293" t="n"/>
    </row>
    <row r="7">
      <c r="A7" s="295" t="inlineStr">
        <is>
          <t>CARGO:</t>
        </is>
      </c>
      <c r="B7" s="296" t="n"/>
      <c r="C7" s="203">
        <f>JAN!C7:I7</f>
        <v/>
      </c>
      <c r="D7" s="297" t="n"/>
      <c r="E7" s="297" t="n"/>
      <c r="F7" s="297" t="n"/>
      <c r="G7" s="297" t="n"/>
      <c r="H7" s="297" t="n"/>
      <c r="I7" s="298" t="n"/>
      <c r="J7" s="299" t="inlineStr">
        <is>
          <t>CH DIÁRIA:</t>
        </is>
      </c>
      <c r="K7" s="296" t="n"/>
      <c r="L7" s="300">
        <f>JAN!L7</f>
        <v/>
      </c>
      <c r="M7" s="301">
        <f>JAN!M7</f>
        <v/>
      </c>
      <c r="N7" s="302">
        <f>JAN!N7</f>
        <v/>
      </c>
    </row>
    <row r="8" ht="16.5" customHeight="1">
      <c r="A8" s="295" t="inlineStr">
        <is>
          <t>FUNÇÃO:</t>
        </is>
      </c>
      <c r="B8" s="296" t="n"/>
      <c r="C8" s="303">
        <f>JAN!C8:I8</f>
        <v/>
      </c>
      <c r="D8" s="297" t="n"/>
      <c r="E8" s="297" t="n"/>
      <c r="F8" s="297" t="n"/>
      <c r="G8" s="297" t="n"/>
      <c r="H8" s="297" t="n"/>
      <c r="I8" s="298" t="n"/>
      <c r="J8" s="4" t="inlineStr">
        <is>
          <t>DIAS ÚTEIS:</t>
        </is>
      </c>
      <c r="K8" s="5" t="n"/>
      <c r="L8" s="304">
        <f>COUNTIF(A14:A43,"U")</f>
        <v/>
      </c>
      <c r="M8" s="305" t="n"/>
      <c r="N8" s="306" t="n"/>
    </row>
    <row r="9" ht="16.5" customHeight="1">
      <c r="A9" s="2" t="inlineStr">
        <is>
          <t>EMPRESA:</t>
        </is>
      </c>
      <c r="B9" s="3" t="n"/>
      <c r="C9" s="129">
        <f>JAN!C9:I9</f>
        <v/>
      </c>
      <c r="D9" s="297" t="n"/>
      <c r="E9" s="297" t="n"/>
      <c r="F9" s="297" t="n"/>
      <c r="G9" s="297" t="n"/>
      <c r="H9" s="297" t="n"/>
      <c r="I9" s="298" t="n"/>
      <c r="J9" s="4" t="inlineStr">
        <is>
          <t>CNPJ:</t>
        </is>
      </c>
      <c r="K9" s="307">
        <f>JAN!K9:L9</f>
        <v/>
      </c>
      <c r="L9" s="296" t="n"/>
      <c r="M9" s="38" t="inlineStr">
        <is>
          <t>EXERCÍCIO:</t>
        </is>
      </c>
      <c r="N9" s="42" t="n">
        <v>2021</v>
      </c>
      <c r="P9" t="inlineStr">
        <is>
          <t>U: DIA ÚTIL</t>
        </is>
      </c>
    </row>
    <row r="10" ht="16.5" customHeight="1">
      <c r="A10" s="2" t="inlineStr">
        <is>
          <t>LOCALIZAÇÃO:</t>
        </is>
      </c>
      <c r="B10" s="3" t="n"/>
      <c r="C10" s="203">
        <f>JAN!C10:I10</f>
        <v/>
      </c>
      <c r="D10" s="297" t="n"/>
      <c r="E10" s="297" t="n"/>
      <c r="F10" s="297" t="n"/>
      <c r="G10" s="297" t="n"/>
      <c r="H10" s="297" t="n"/>
      <c r="I10" s="298" t="n"/>
      <c r="J10" s="395" t="inlineStr">
        <is>
          <t>NÚMERO FUNCIONAL:</t>
        </is>
      </c>
      <c r="K10" s="296" t="n"/>
      <c r="L10" s="43" t="n">
        <v>531185</v>
      </c>
      <c r="M10" s="37" t="inlineStr">
        <is>
          <t>VÍNCULO:</t>
        </is>
      </c>
      <c r="N10" s="44">
        <f>JAN!N10</f>
        <v/>
      </c>
      <c r="P10" t="inlineStr">
        <is>
          <t>F: SÁBADOS; DOMINGOS E FERIADOS</t>
        </is>
      </c>
    </row>
    <row r="11" ht="16.5" customHeight="1" thickBot="1">
      <c r="A11" s="309" t="inlineStr">
        <is>
          <t>REGIME JURÍDICO:</t>
        </is>
      </c>
      <c r="B11" s="310" t="n"/>
      <c r="C11" s="311">
        <f>JAN!C11:E11</f>
        <v/>
      </c>
      <c r="D11" s="312" t="n"/>
      <c r="E11" s="313" t="n"/>
      <c r="F11" s="314" t="inlineStr">
        <is>
          <t>ÓRGÃO DE EXERCÍCIO:</t>
        </is>
      </c>
      <c r="G11" s="315" t="n"/>
      <c r="H11" s="310" t="n"/>
      <c r="I11" s="316" t="inlineStr">
        <is>
          <t>Secretaria de Estado da Educação</t>
        </is>
      </c>
      <c r="J11" s="312" t="n"/>
      <c r="K11" s="312" t="n"/>
      <c r="L11" s="312" t="n"/>
      <c r="M11" s="312" t="n"/>
      <c r="N11" s="317" t="n"/>
    </row>
    <row r="12" ht="39" customHeight="1" thickBot="1">
      <c r="A12" s="168" t="inlineStr">
        <is>
          <t>DIAS DA SEMANA</t>
        </is>
      </c>
      <c r="E12" s="287" t="n"/>
      <c r="F12" s="170" t="inlineStr">
        <is>
          <t>1º TURNO</t>
        </is>
      </c>
      <c r="G12" s="318" t="n"/>
      <c r="H12" s="170" t="inlineStr">
        <is>
          <t>2º TURNO</t>
        </is>
      </c>
      <c r="I12" s="318" t="n"/>
      <c r="J12" s="170" t="inlineStr">
        <is>
          <t>3º TURNO</t>
        </is>
      </c>
      <c r="K12" s="318" t="n"/>
      <c r="L12" s="6" t="inlineStr">
        <is>
          <t xml:space="preserve">HORAS TRABALHADAS </t>
        </is>
      </c>
      <c r="M12" s="6" t="inlineStr">
        <is>
          <t>CH PADRÃO</t>
        </is>
      </c>
      <c r="N12" s="6" t="inlineStr">
        <is>
          <t xml:space="preserve">SALDO </t>
        </is>
      </c>
      <c r="O12" s="47" t="n"/>
      <c r="P12" s="173" t="inlineStr">
        <is>
          <t>saldo acumulado até hoje</t>
        </is>
      </c>
      <c r="Q12" s="47" t="n"/>
      <c r="R12" s="319">
        <f>SUM(U14:U44)+SUM(FEV!U44)+SUM(MAR!U14:U44)+SUM(ABR!U14:U44)+SUM(MAIO!U14:U44)+SUM(JUN!U14:U44)+SUM(JUL!U14:U44)+SUM(AGO!U14:U44)+SUM(SET!U14:U44)+SUM(OUT!U14:U44)+SUM(NOV!U14:U44)+SUM(DEZ!U14:U44)</f>
        <v/>
      </c>
      <c r="S12" s="320" t="n"/>
      <c r="U12" s="66">
        <f>TODAY()</f>
        <v/>
      </c>
    </row>
    <row r="13" ht="26.25" customHeight="1" thickBot="1">
      <c r="A13" s="321" t="n"/>
      <c r="B13" s="322" t="n"/>
      <c r="C13" s="322" t="n"/>
      <c r="D13" s="322" t="n"/>
      <c r="E13" s="318" t="n"/>
      <c r="F13" s="7" t="inlineStr">
        <is>
          <t>ENTRADA MANHÃ</t>
        </is>
      </c>
      <c r="G13" s="7" t="inlineStr">
        <is>
          <t>SAÍDA MANHÃ</t>
        </is>
      </c>
      <c r="H13" s="7" t="inlineStr">
        <is>
          <t>ENTRADA TARDE</t>
        </is>
      </c>
      <c r="I13" s="7" t="inlineStr">
        <is>
          <t>SAÍDA DA TARDE</t>
        </is>
      </c>
      <c r="J13" s="7" t="inlineStr">
        <is>
          <t>ENTRADA EXTRA</t>
        </is>
      </c>
      <c r="K13" s="7" t="inlineStr">
        <is>
          <t>SAÍDA EXTRA</t>
        </is>
      </c>
      <c r="L13" s="8" t="inlineStr">
        <is>
          <t>POR DIA</t>
        </is>
      </c>
      <c r="M13" s="8" t="inlineStr">
        <is>
          <t>DIÁRIA</t>
        </is>
      </c>
      <c r="N13" s="8" t="inlineStr">
        <is>
          <t>DIÁRIO</t>
        </is>
      </c>
      <c r="O13" s="47" t="n"/>
    </row>
    <row r="14" ht="16.5" customHeight="1" thickBot="1">
      <c r="A14" s="17">
        <f>IF(OR(C14=2,C14=8),"F","U")</f>
        <v/>
      </c>
      <c r="B14" s="45">
        <f>K6</f>
        <v/>
      </c>
      <c r="C14" s="393">
        <f>WEEKDAY(B14)+1</f>
        <v/>
      </c>
      <c r="D14" s="305" t="n"/>
      <c r="E14" s="296" t="n"/>
      <c r="F14" s="405" t="n">
        <v>0</v>
      </c>
      <c r="G14" s="396" t="n">
        <v>0</v>
      </c>
      <c r="H14" s="396" t="n">
        <v>0</v>
      </c>
      <c r="I14" s="397" t="n">
        <v>0</v>
      </c>
      <c r="J14" s="374" t="n"/>
      <c r="K14" s="328" t="n"/>
      <c r="L14" s="329">
        <f>IF(A14="U",(G14-F14)+(I14-H14)+(K14-J14),"NÃO ÚTIL")</f>
        <v/>
      </c>
      <c r="M14" s="330">
        <f>IF(A14="U",L7,"NÃO ÚTIL")</f>
        <v/>
      </c>
      <c r="N14" s="331">
        <f>IF(A14="U",(L14-M14),"NÃO ÚTIL")</f>
        <v/>
      </c>
      <c r="O14" s="47" t="n"/>
      <c r="P14" s="332">
        <f>IF(N14="não útil",0,N14)</f>
        <v/>
      </c>
      <c r="Q14" s="332">
        <f>P14</f>
        <v/>
      </c>
      <c r="R14" s="332">
        <f>Q14+$Q$4</f>
        <v/>
      </c>
      <c r="S14" s="47">
        <f>IF(B14=T14,"HOJE",".")</f>
        <v/>
      </c>
      <c r="T14" s="62">
        <f>TODAY()</f>
        <v/>
      </c>
      <c r="U14" s="332">
        <f>IF(S14="HOJE",R14,0)</f>
        <v/>
      </c>
      <c r="V14" s="47" t="n"/>
    </row>
    <row r="15" ht="16.5" customHeight="1" thickBot="1">
      <c r="A15" s="17">
        <f>IF(OR(C15=2,C15=8),"F","U")</f>
        <v/>
      </c>
      <c r="B15" s="46">
        <f>B14+1</f>
        <v/>
      </c>
      <c r="C15" s="393">
        <f>WEEKDAY(B15)+1</f>
        <v/>
      </c>
      <c r="D15" s="305" t="n"/>
      <c r="E15" s="296" t="n"/>
      <c r="F15" s="406" t="n">
        <v>0</v>
      </c>
      <c r="G15" s="372" t="n">
        <v>0</v>
      </c>
      <c r="H15" s="372" t="n">
        <v>0</v>
      </c>
      <c r="I15" s="373" t="n">
        <v>0</v>
      </c>
      <c r="J15" s="376" t="n"/>
      <c r="K15" s="336" t="n"/>
      <c r="L15" s="329">
        <f>IF(A15="U",(G15-F15)+(I15-H15)+(K15-J15),"NÃO ÚTIL")</f>
        <v/>
      </c>
      <c r="M15" s="330">
        <f>IF(A15="U",L7,"NÃO ÚTIL")</f>
        <v/>
      </c>
      <c r="N15" s="331">
        <f>IF(A15="U",(L15-M15),"NÃO ÚTIL")</f>
        <v/>
      </c>
      <c r="O15" s="337" t="n"/>
      <c r="P15" s="332">
        <f>IF(N15="não útil",0,N15)</f>
        <v/>
      </c>
      <c r="Q15" s="337">
        <f>P15+Q14</f>
        <v/>
      </c>
      <c r="R15" s="332">
        <f>Q15+$Q$4</f>
        <v/>
      </c>
      <c r="S15" s="47">
        <f>IF(B15=T15,"HOJE",".")</f>
        <v/>
      </c>
      <c r="T15" s="62">
        <f>TODAY()</f>
        <v/>
      </c>
      <c r="U15" s="332">
        <f>IF(S15="HOJE",R15,0)</f>
        <v/>
      </c>
      <c r="V15" s="47" t="n"/>
    </row>
    <row r="16" ht="16.5" customHeight="1" thickBot="1">
      <c r="A16" s="17">
        <f>IF(OR(C16=2,C16=8),"F","U")</f>
        <v/>
      </c>
      <c r="B16" s="46">
        <f>B15+1</f>
        <v/>
      </c>
      <c r="C16" s="393">
        <f>WEEKDAY(B16)+1</f>
        <v/>
      </c>
      <c r="D16" s="305" t="n"/>
      <c r="E16" s="296" t="n"/>
      <c r="F16" s="397" t="n">
        <v>0</v>
      </c>
      <c r="G16" s="397" t="n">
        <v>0</v>
      </c>
      <c r="H16" s="397" t="n">
        <v>0</v>
      </c>
      <c r="I16" s="397" t="n">
        <v>0</v>
      </c>
      <c r="J16" s="377" t="n"/>
      <c r="K16" s="339" t="n"/>
      <c r="L16" s="329">
        <f>IF(A16="U",(G16-F16)+(I16-H16)+(K16-J16),"NÃO ÚTIL")</f>
        <v/>
      </c>
      <c r="M16" s="330">
        <f>IF(A16="U",L7,"NÃO ÚTIL")</f>
        <v/>
      </c>
      <c r="N16" s="331">
        <f>IF(A16="U",(L16-M16),"NÃO ÚTIL")</f>
        <v/>
      </c>
      <c r="O16" s="337" t="n"/>
      <c r="P16" s="332">
        <f>IF(N16="não útil",0,N16)</f>
        <v/>
      </c>
      <c r="Q16" s="337">
        <f>P16+Q15</f>
        <v/>
      </c>
      <c r="R16" s="332">
        <f>Q16+$Q$4</f>
        <v/>
      </c>
      <c r="S16" s="47">
        <f>IF(B16=T16,"HOJE",".")</f>
        <v/>
      </c>
      <c r="T16" s="62">
        <f>TODAY()</f>
        <v/>
      </c>
      <c r="U16" s="332">
        <f>IF(S16="HOJE",R16,0)</f>
        <v/>
      </c>
      <c r="V16" s="47" t="n"/>
    </row>
    <row r="17" ht="16.5" customHeight="1" thickBot="1">
      <c r="A17" s="17">
        <f>IF(OR(C17=2,C17=8),"F","U")</f>
        <v/>
      </c>
      <c r="B17" s="46">
        <f>B16+1</f>
        <v/>
      </c>
      <c r="C17" s="393">
        <f>WEEKDAY(B17)+1</f>
        <v/>
      </c>
      <c r="D17" s="305" t="n"/>
      <c r="E17" s="296" t="n"/>
      <c r="F17" s="397" t="n">
        <v>0</v>
      </c>
      <c r="G17" s="397" t="n">
        <v>0</v>
      </c>
      <c r="H17" s="397" t="n">
        <v>0</v>
      </c>
      <c r="I17" s="397" t="n">
        <v>0</v>
      </c>
      <c r="J17" s="378" t="n"/>
      <c r="K17" s="341" t="n"/>
      <c r="L17" s="329">
        <f>IF(A17="U",(G17-F17)+(I17-H17)+(K17-J17),"NÃO ÚTIL")</f>
        <v/>
      </c>
      <c r="M17" s="330">
        <f>IF(A17="U",L7,"NÃO ÚTIL")</f>
        <v/>
      </c>
      <c r="N17" s="331">
        <f>IF(A17="U",(L17-M17),"NÃO ÚTIL")</f>
        <v/>
      </c>
      <c r="O17" s="47" t="n"/>
      <c r="P17" s="332">
        <f>IF(N17="não útil",0,N17)</f>
        <v/>
      </c>
      <c r="Q17" s="337">
        <f>P17+Q16</f>
        <v/>
      </c>
      <c r="R17" s="332">
        <f>Q17+$Q$4</f>
        <v/>
      </c>
      <c r="S17" s="47">
        <f>IF(B17=T17,"HOJE",".")</f>
        <v/>
      </c>
      <c r="T17" s="62">
        <f>TODAY()</f>
        <v/>
      </c>
      <c r="U17" s="332">
        <f>IF(S17="HOJE",R17,0)</f>
        <v/>
      </c>
      <c r="V17" s="47" t="n"/>
    </row>
    <row r="18" ht="16.5" customHeight="1" thickBot="1">
      <c r="A18" s="17">
        <f>IF(OR(C18=2,C18=8),"F","U")</f>
        <v/>
      </c>
      <c r="B18" s="46">
        <f>B17+1</f>
        <v/>
      </c>
      <c r="C18" s="393">
        <f>WEEKDAY(B18)+1</f>
        <v/>
      </c>
      <c r="D18" s="305" t="n"/>
      <c r="E18" s="296" t="n"/>
      <c r="F18" s="397" t="n">
        <v>0</v>
      </c>
      <c r="G18" s="397" t="n">
        <v>0</v>
      </c>
      <c r="H18" s="397" t="n">
        <v>0</v>
      </c>
      <c r="I18" s="397" t="n">
        <v>0</v>
      </c>
      <c r="J18" s="377" t="n"/>
      <c r="K18" s="339" t="n"/>
      <c r="L18" s="329">
        <f>IF(A18="U",(G18-F18)+(I18-H18)+(K18-J18),"NÃO ÚTIL")</f>
        <v/>
      </c>
      <c r="M18" s="330">
        <f>IF(A18="U",L7,"NÃO ÚTIL")</f>
        <v/>
      </c>
      <c r="N18" s="331">
        <f>IF(A18="U",(L18-M18),"NÃO ÚTIL")</f>
        <v/>
      </c>
      <c r="O18" s="47" t="n"/>
      <c r="P18" s="332">
        <f>IF(N18="não útil",0,N18)</f>
        <v/>
      </c>
      <c r="Q18" s="337">
        <f>P18+Q17</f>
        <v/>
      </c>
      <c r="R18" s="332">
        <f>Q18+$Q$4</f>
        <v/>
      </c>
      <c r="S18" s="47">
        <f>IF(B18=T18,"HOJE",".")</f>
        <v/>
      </c>
      <c r="T18" s="62">
        <f>TODAY()</f>
        <v/>
      </c>
      <c r="U18" s="332">
        <f>IF(S18="HOJE",R18,0)</f>
        <v/>
      </c>
      <c r="V18" s="47" t="n"/>
    </row>
    <row r="19" ht="16.5" customHeight="1" thickBot="1">
      <c r="A19" s="17">
        <f>IF(OR(C19=2,C19=8),"F","U")</f>
        <v/>
      </c>
      <c r="B19" s="46">
        <f>B18+1</f>
        <v/>
      </c>
      <c r="C19" s="393">
        <f>WEEKDAY(B19)+1</f>
        <v/>
      </c>
      <c r="D19" s="305" t="n"/>
      <c r="E19" s="296" t="n"/>
      <c r="F19" s="397" t="n">
        <v>0</v>
      </c>
      <c r="G19" s="397" t="n">
        <v>0</v>
      </c>
      <c r="H19" s="397" t="n">
        <v>0</v>
      </c>
      <c r="I19" s="397" t="n">
        <v>0</v>
      </c>
      <c r="J19" s="376" t="n"/>
      <c r="K19" s="336" t="n"/>
      <c r="L19" s="329">
        <f>IF(A19="U",(G19-F19)+(I19-H19)+(K19-J19),"NÃO ÚTIL")</f>
        <v/>
      </c>
      <c r="M19" s="330">
        <f>IF(A19="U",L7,"NÃO ÚTIL")</f>
        <v/>
      </c>
      <c r="N19" s="331">
        <f>IF(A19="U",(L19-M19),"NÃO ÚTIL")</f>
        <v/>
      </c>
      <c r="O19" s="47" t="n"/>
      <c r="P19" s="332">
        <f>IF(N19="não útil",0,N19)</f>
        <v/>
      </c>
      <c r="Q19" s="337">
        <f>P19+Q18</f>
        <v/>
      </c>
      <c r="R19" s="332">
        <f>Q19+$Q$4</f>
        <v/>
      </c>
      <c r="S19" s="47">
        <f>IF(B19=T19,"HOJE",".")</f>
        <v/>
      </c>
      <c r="T19" s="62">
        <f>TODAY()</f>
        <v/>
      </c>
      <c r="U19" s="332">
        <f>IF(S19="HOJE",R19,0)</f>
        <v/>
      </c>
      <c r="V19" s="47" t="n"/>
    </row>
    <row r="20" ht="16.5" customHeight="1" thickBot="1">
      <c r="A20" s="17" t="inlineStr">
        <is>
          <t>F</t>
        </is>
      </c>
      <c r="B20" s="46">
        <f>B19+1</f>
        <v/>
      </c>
      <c r="C20" s="400">
        <f>WEEKDAY(B20)+1</f>
        <v/>
      </c>
      <c r="D20" s="305" t="n"/>
      <c r="E20" s="296" t="n"/>
      <c r="F20" s="397" t="n">
        <v>0</v>
      </c>
      <c r="G20" s="397" t="n">
        <v>0</v>
      </c>
      <c r="H20" s="397" t="n">
        <v>0</v>
      </c>
      <c r="I20" s="397" t="n">
        <v>0</v>
      </c>
      <c r="J20" s="376" t="n"/>
      <c r="K20" s="336" t="n"/>
      <c r="L20" s="329">
        <f>IF(A20="U",(G20-F20)+(I20-H20)+(K20-J20),"NÃO ÚTIL")</f>
        <v/>
      </c>
      <c r="M20" s="330">
        <f>IF(A20="U",L7,"NÃO ÚTIL")</f>
        <v/>
      </c>
      <c r="N20" s="331">
        <f>IF(A20="U",(L20-M20),"NÃO ÚTIL")</f>
        <v/>
      </c>
      <c r="O20" s="47" t="n"/>
      <c r="P20" s="332">
        <f>IF(N20="não útil",0,N20)</f>
        <v/>
      </c>
      <c r="Q20" s="337">
        <f>P20+Q19</f>
        <v/>
      </c>
      <c r="R20" s="332">
        <f>Q20+$Q$4</f>
        <v/>
      </c>
      <c r="S20" s="47">
        <f>IF(B20=T20,"HOJE",".")</f>
        <v/>
      </c>
      <c r="T20" s="62">
        <f>TODAY()</f>
        <v/>
      </c>
      <c r="U20" s="332">
        <f>IF(S20="HOJE",R20,0)</f>
        <v/>
      </c>
      <c r="V20" s="47" t="n"/>
    </row>
    <row r="21" ht="16.5" customHeight="1" thickBot="1">
      <c r="A21" s="17">
        <f>IF(OR(C21=2,C21=8),"F","U")</f>
        <v/>
      </c>
      <c r="B21" s="46">
        <f>B20+1</f>
        <v/>
      </c>
      <c r="C21" s="393">
        <f>WEEKDAY(B21)+1</f>
        <v/>
      </c>
      <c r="D21" s="305" t="n"/>
      <c r="E21" s="296" t="n"/>
      <c r="F21" s="397" t="n">
        <v>0</v>
      </c>
      <c r="G21" s="397" t="n">
        <v>0</v>
      </c>
      <c r="H21" s="397" t="n">
        <v>0</v>
      </c>
      <c r="I21" s="397" t="n">
        <v>0</v>
      </c>
      <c r="J21" s="340" t="n"/>
      <c r="K21" s="341" t="n"/>
      <c r="L21" s="329">
        <f>IF(A21="U",(G21-F21)+(I21-H21)+(K21-J21),"NÃO ÚTIL")</f>
        <v/>
      </c>
      <c r="M21" s="330">
        <f>IF(A21="U",L7,"NÃO ÚTIL")</f>
        <v/>
      </c>
      <c r="N21" s="331">
        <f>IF(A21="U",(L21-M21),"NÃO ÚTIL")</f>
        <v/>
      </c>
      <c r="O21" s="47" t="n"/>
      <c r="P21" s="332">
        <f>IF(N21="não útil",0,N21)</f>
        <v/>
      </c>
      <c r="Q21" s="337">
        <f>P21+Q20</f>
        <v/>
      </c>
      <c r="R21" s="332">
        <f>Q21+$Q$4</f>
        <v/>
      </c>
      <c r="S21" s="47">
        <f>IF(B21=T21,"HOJE",".")</f>
        <v/>
      </c>
      <c r="T21" s="62">
        <f>TODAY()</f>
        <v/>
      </c>
      <c r="U21" s="332">
        <f>IF(S21="HOJE",R21,0)</f>
        <v/>
      </c>
      <c r="V21" s="47" t="n"/>
    </row>
    <row r="22" ht="16.5" customHeight="1" thickBot="1">
      <c r="A22" s="17">
        <f>IF(OR(C22=2,C22=8),"F","U")</f>
        <v/>
      </c>
      <c r="B22" s="46">
        <f>B21+1</f>
        <v/>
      </c>
      <c r="C22" s="393">
        <f>WEEKDAY(B22)+1</f>
        <v/>
      </c>
      <c r="D22" s="305" t="n"/>
      <c r="E22" s="296" t="n"/>
      <c r="F22" s="397" t="n">
        <v>0</v>
      </c>
      <c r="G22" s="397" t="n">
        <v>0</v>
      </c>
      <c r="H22" s="397" t="n">
        <v>0</v>
      </c>
      <c r="I22" s="397" t="n">
        <v>0</v>
      </c>
      <c r="J22" s="377" t="n"/>
      <c r="K22" s="339" t="n"/>
      <c r="L22" s="329">
        <f>IF(A22="U",(G22-F22)+(I22-H22)+(K22-J22),"NÃO ÚTIL")</f>
        <v/>
      </c>
      <c r="M22" s="330">
        <f>IF(A22="U",L7,"NÃO ÚTIL")</f>
        <v/>
      </c>
      <c r="N22" s="331">
        <f>IF(A22="U",(L22-M22),"NÃO ÚTIL")</f>
        <v/>
      </c>
      <c r="O22" s="47" t="n"/>
      <c r="P22" s="332">
        <f>IF(N22="não útil",0,N22)</f>
        <v/>
      </c>
      <c r="Q22" s="337">
        <f>P22+Q21</f>
        <v/>
      </c>
      <c r="R22" s="332">
        <f>Q22+$Q$4</f>
        <v/>
      </c>
      <c r="S22" s="47">
        <f>IF(B22=T22,"HOJE",".")</f>
        <v/>
      </c>
      <c r="T22" s="62">
        <f>TODAY()</f>
        <v/>
      </c>
      <c r="U22" s="332">
        <f>IF(S22="HOJE",R22,0)</f>
        <v/>
      </c>
      <c r="V22" s="47" t="n"/>
    </row>
    <row r="23" ht="16.5" customHeight="1" thickBot="1">
      <c r="A23" s="17">
        <f>IF(OR(C23=2,C23=8),"F","U")</f>
        <v/>
      </c>
      <c r="B23" s="46">
        <f>B22+1</f>
        <v/>
      </c>
      <c r="C23" s="393">
        <f>WEEKDAY(B23)+1</f>
        <v/>
      </c>
      <c r="D23" s="305" t="n"/>
      <c r="E23" s="296" t="n"/>
      <c r="F23" s="397" t="n">
        <v>0</v>
      </c>
      <c r="G23" s="397" t="n">
        <v>0</v>
      </c>
      <c r="H23" s="397" t="n">
        <v>0</v>
      </c>
      <c r="I23" s="397" t="n">
        <v>0</v>
      </c>
      <c r="J23" s="376" t="n"/>
      <c r="K23" s="336" t="n"/>
      <c r="L23" s="329">
        <f>IF(A23="U",(G23-F23)+(I23-H23)+(K23-J23),"NÃO ÚTIL")</f>
        <v/>
      </c>
      <c r="M23" s="330">
        <f>IF(A23="U",L7,"NÃO ÚTIL")</f>
        <v/>
      </c>
      <c r="N23" s="331">
        <f>IF(A23="U",(L23-M23),"NÃO ÚTIL")</f>
        <v/>
      </c>
      <c r="O23" s="47" t="n"/>
      <c r="P23" s="332">
        <f>IF(N23="não útil",0,N23)</f>
        <v/>
      </c>
      <c r="Q23" s="337">
        <f>P23+Q22</f>
        <v/>
      </c>
      <c r="R23" s="332">
        <f>Q23+$Q$4</f>
        <v/>
      </c>
      <c r="S23" s="47">
        <f>IF(B23=T23,"HOJE",".")</f>
        <v/>
      </c>
      <c r="T23" s="62">
        <f>TODAY()</f>
        <v/>
      </c>
      <c r="U23" s="332">
        <f>IF(S23="HOJE",R23,0)</f>
        <v/>
      </c>
      <c r="V23" s="47" t="n"/>
    </row>
    <row r="24" ht="16.5" customHeight="1" thickBot="1">
      <c r="A24" s="17">
        <f>IF(OR(C24=2,C24=8),"F","U")</f>
        <v/>
      </c>
      <c r="B24" s="46">
        <f>B23+1</f>
        <v/>
      </c>
      <c r="C24" s="393">
        <f>WEEKDAY(B24)+1</f>
        <v/>
      </c>
      <c r="D24" s="305" t="n"/>
      <c r="E24" s="296" t="n"/>
      <c r="F24" s="397" t="n">
        <v>0</v>
      </c>
      <c r="G24" s="397" t="n">
        <v>0</v>
      </c>
      <c r="H24" s="397" t="n">
        <v>0</v>
      </c>
      <c r="I24" s="397" t="n">
        <v>0</v>
      </c>
      <c r="J24" s="377" t="n"/>
      <c r="K24" s="339" t="n"/>
      <c r="L24" s="329">
        <f>IF(A24="U",(G24-F24)+(I24-H24)+(K24-J24),"NÃO ÚTIL")</f>
        <v/>
      </c>
      <c r="M24" s="330">
        <f>IF(A24="U",L7,"NÃO ÚTIL")</f>
        <v/>
      </c>
      <c r="N24" s="331">
        <f>IF(A24="U",(L24-M24),"NÃO ÚTIL")</f>
        <v/>
      </c>
      <c r="O24" s="47" t="n"/>
      <c r="P24" s="332">
        <f>IF(N24="não útil",0,N24)</f>
        <v/>
      </c>
      <c r="Q24" s="337">
        <f>P24+Q23</f>
        <v/>
      </c>
      <c r="R24" s="332">
        <f>Q24+$Q$4</f>
        <v/>
      </c>
      <c r="S24" s="47">
        <f>IF(B24=T24,"HOJE",".")</f>
        <v/>
      </c>
      <c r="T24" s="62">
        <f>TODAY()</f>
        <v/>
      </c>
      <c r="U24" s="332">
        <f>IF(S24="HOJE",R24,0)</f>
        <v/>
      </c>
      <c r="V24" s="47" t="n"/>
    </row>
    <row r="25" ht="16.5" customHeight="1" thickBot="1">
      <c r="A25" s="17">
        <f>IF(OR(C25=2,C25=8),"F","U")</f>
        <v/>
      </c>
      <c r="B25" s="46">
        <f>B24+1</f>
        <v/>
      </c>
      <c r="C25" s="393">
        <f>WEEKDAY(B25)+1</f>
        <v/>
      </c>
      <c r="D25" s="305" t="n"/>
      <c r="E25" s="296" t="n"/>
      <c r="F25" s="397" t="n">
        <v>0</v>
      </c>
      <c r="G25" s="397" t="n">
        <v>0</v>
      </c>
      <c r="H25" s="397" t="n">
        <v>0</v>
      </c>
      <c r="I25" s="397" t="n">
        <v>0</v>
      </c>
      <c r="J25" s="376" t="n"/>
      <c r="K25" s="336" t="n"/>
      <c r="L25" s="329">
        <f>IF(A25="U",(G25-F25)+(I25-H25)+(K25-J25),"NÃO ÚTIL")</f>
        <v/>
      </c>
      <c r="M25" s="330">
        <f>IF(A25="U",L7,"NÃO ÚTIL")</f>
        <v/>
      </c>
      <c r="N25" s="331">
        <f>IF(A25="U",(L25-M25),"NÃO ÚTIL")</f>
        <v/>
      </c>
      <c r="O25" s="47" t="n"/>
      <c r="P25" s="332">
        <f>IF(N25="não útil",0,N25)</f>
        <v/>
      </c>
      <c r="Q25" s="337">
        <f>P25+Q24</f>
        <v/>
      </c>
      <c r="R25" s="332">
        <f>Q25+$Q$4</f>
        <v/>
      </c>
      <c r="S25" s="47">
        <f>IF(B25=T25,"HOJE",".")</f>
        <v/>
      </c>
      <c r="T25" s="62">
        <f>TODAY()</f>
        <v/>
      </c>
      <c r="U25" s="332">
        <f>IF(S25="HOJE",R25,0)</f>
        <v/>
      </c>
      <c r="V25" s="47" t="n"/>
    </row>
    <row r="26" ht="16.5" customHeight="1" thickBot="1">
      <c r="A26" s="17">
        <f>IF(OR(C26=2,C26=8),"F","U")</f>
        <v/>
      </c>
      <c r="B26" s="46">
        <f>B25+1</f>
        <v/>
      </c>
      <c r="C26" s="393">
        <f>WEEKDAY(B26)+1</f>
        <v/>
      </c>
      <c r="D26" s="305" t="n"/>
      <c r="E26" s="296" t="n"/>
      <c r="F26" s="397" t="n">
        <v>0</v>
      </c>
      <c r="G26" s="397" t="n">
        <v>0</v>
      </c>
      <c r="H26" s="397" t="n">
        <v>0</v>
      </c>
      <c r="I26" s="397" t="n">
        <v>0</v>
      </c>
      <c r="J26" s="378" t="n"/>
      <c r="K26" s="341" t="n"/>
      <c r="L26" s="329">
        <f>IF(A26="U",(G26-F26)+(I26-H26)+(K26-J26),"NÃO ÚTIL")</f>
        <v/>
      </c>
      <c r="M26" s="330">
        <f>IF(A26="U",L7,"NÃO ÚTIL")</f>
        <v/>
      </c>
      <c r="N26" s="331">
        <f>IF(A26="U",(L26-M26),"NÃO ÚTIL")</f>
        <v/>
      </c>
      <c r="O26" s="47" t="n"/>
      <c r="P26" s="332">
        <f>IF(N26="não útil",0,N26)</f>
        <v/>
      </c>
      <c r="Q26" s="337">
        <f>P26+Q25</f>
        <v/>
      </c>
      <c r="R26" s="332">
        <f>Q26+$Q$4</f>
        <v/>
      </c>
      <c r="S26" s="47">
        <f>IF(B26=T26,"HOJE",".")</f>
        <v/>
      </c>
      <c r="T26" s="62">
        <f>TODAY()</f>
        <v/>
      </c>
      <c r="U26" s="332">
        <f>IF(S26="HOJE",R26,0)</f>
        <v/>
      </c>
      <c r="V26" s="47" t="n"/>
    </row>
    <row r="27" ht="16.5" customHeight="1" thickBot="1">
      <c r="A27" s="17">
        <f>IF(OR(C27=2,C27=8),"F","U")</f>
        <v/>
      </c>
      <c r="B27" s="46">
        <f>B26+1</f>
        <v/>
      </c>
      <c r="C27" s="393">
        <f>WEEKDAY(B27)+1</f>
        <v/>
      </c>
      <c r="D27" s="305" t="n"/>
      <c r="E27" s="296" t="n"/>
      <c r="F27" s="397" t="n">
        <v>0</v>
      </c>
      <c r="G27" s="397" t="n">
        <v>0</v>
      </c>
      <c r="H27" s="397" t="n">
        <v>0</v>
      </c>
      <c r="I27" s="397" t="n">
        <v>0</v>
      </c>
      <c r="J27" s="377" t="n"/>
      <c r="K27" s="339" t="n"/>
      <c r="L27" s="329">
        <f>IF(A27="U",(G27-F27)+(I27-H27)+(K27-J27),"NÃO ÚTIL")</f>
        <v/>
      </c>
      <c r="M27" s="330">
        <f>IF(A27="U",L7,"NÃO ÚTIL")</f>
        <v/>
      </c>
      <c r="N27" s="331">
        <f>IF(A27="U",(L27-M27),"NÃO ÚTIL")</f>
        <v/>
      </c>
      <c r="O27" s="47" t="n"/>
      <c r="P27" s="332">
        <f>IF(N27="não útil",0,N27)</f>
        <v/>
      </c>
      <c r="Q27" s="337">
        <f>P27+Q26</f>
        <v/>
      </c>
      <c r="R27" s="332">
        <f>Q27+$Q$4</f>
        <v/>
      </c>
      <c r="S27" s="47">
        <f>IF(B27=T27,"HOJE",".")</f>
        <v/>
      </c>
      <c r="T27" s="62">
        <f>TODAY()</f>
        <v/>
      </c>
      <c r="U27" s="332">
        <f>IF(S27="HOJE",R27,0)</f>
        <v/>
      </c>
      <c r="V27" s="47" t="n"/>
    </row>
    <row r="28" ht="16.5" customHeight="1" thickBot="1">
      <c r="A28" s="17">
        <f>IF(OR(C28=2,C28=8),"F","U")</f>
        <v/>
      </c>
      <c r="B28" s="46">
        <f>B27+1</f>
        <v/>
      </c>
      <c r="C28" s="393">
        <f>WEEKDAY(B28)+1</f>
        <v/>
      </c>
      <c r="D28" s="305" t="n"/>
      <c r="E28" s="296" t="n"/>
      <c r="F28" s="397" t="n">
        <v>0</v>
      </c>
      <c r="G28" s="397" t="n">
        <v>0</v>
      </c>
      <c r="H28" s="397" t="n">
        <v>0</v>
      </c>
      <c r="I28" s="397" t="n">
        <v>0</v>
      </c>
      <c r="J28" s="376" t="n"/>
      <c r="K28" s="336" t="n"/>
      <c r="L28" s="329">
        <f>IF(A28="U",(G28-F28)+(I28-H28)+(K28-J28),"NÃO ÚTIL")</f>
        <v/>
      </c>
      <c r="M28" s="330">
        <f>IF(A28="U",L7,"NÃO ÚTIL")</f>
        <v/>
      </c>
      <c r="N28" s="331">
        <f>IF(A28="U",(L28-M28),"NÃO ÚTIL")</f>
        <v/>
      </c>
      <c r="O28" s="47" t="n"/>
      <c r="P28" s="332">
        <f>IF(N28="não útil",0,N28)</f>
        <v/>
      </c>
      <c r="Q28" s="337">
        <f>P28+Q27</f>
        <v/>
      </c>
      <c r="R28" s="332">
        <f>Q28+$Q$4</f>
        <v/>
      </c>
      <c r="S28" s="47">
        <f>IF(B28=T28,"HOJE",".")</f>
        <v/>
      </c>
      <c r="T28" s="62">
        <f>TODAY()</f>
        <v/>
      </c>
      <c r="U28" s="332">
        <f>IF(S28="HOJE",R28,0)</f>
        <v/>
      </c>
      <c r="V28" s="47" t="n"/>
    </row>
    <row r="29" ht="16.5" customHeight="1" thickBot="1">
      <c r="A29" s="17">
        <f>IF(OR(C29=2,C29=8),"F","U")</f>
        <v/>
      </c>
      <c r="B29" s="46">
        <f>B28+1</f>
        <v/>
      </c>
      <c r="C29" s="393">
        <f>WEEKDAY(B29)+1</f>
        <v/>
      </c>
      <c r="D29" s="305" t="n"/>
      <c r="E29" s="296" t="n"/>
      <c r="F29" s="397" t="n">
        <v>0</v>
      </c>
      <c r="G29" s="397" t="n">
        <v>0</v>
      </c>
      <c r="H29" s="397" t="n">
        <v>0</v>
      </c>
      <c r="I29" s="397" t="n">
        <v>0</v>
      </c>
      <c r="J29" s="378" t="n"/>
      <c r="K29" s="341" t="n"/>
      <c r="L29" s="329">
        <f>IF(A29="U",(G29-F29)+(I29-H29)+(K29-J29),"NÃO ÚTIL")</f>
        <v/>
      </c>
      <c r="M29" s="330">
        <f>IF(A29="U",L7,"NÃO ÚTIL")</f>
        <v/>
      </c>
      <c r="N29" s="331">
        <f>IF(A29="U",(L29-M29),"NÃO ÚTIL")</f>
        <v/>
      </c>
      <c r="O29" s="47" t="n"/>
      <c r="P29" s="332">
        <f>IF(N29="não útil",0,N29)</f>
        <v/>
      </c>
      <c r="Q29" s="337">
        <f>P29+Q28</f>
        <v/>
      </c>
      <c r="R29" s="332">
        <f>Q29+$Q$4</f>
        <v/>
      </c>
      <c r="S29" s="47">
        <f>IF(B29=T29,"HOJE",".")</f>
        <v/>
      </c>
      <c r="T29" s="62">
        <f>TODAY()</f>
        <v/>
      </c>
      <c r="U29" s="332">
        <f>IF(S29="HOJE",R29,0)</f>
        <v/>
      </c>
      <c r="V29" s="47" t="n"/>
    </row>
    <row r="30" ht="16.5" customHeight="1" thickBot="1">
      <c r="A30" s="17">
        <f>IF(OR(C30=2,C30=8),"F","U")</f>
        <v/>
      </c>
      <c r="B30" s="46">
        <f>B29+1</f>
        <v/>
      </c>
      <c r="C30" s="393">
        <f>WEEKDAY(B30)+1</f>
        <v/>
      </c>
      <c r="D30" s="305" t="n"/>
      <c r="E30" s="296" t="n"/>
      <c r="F30" s="397" t="n">
        <v>0</v>
      </c>
      <c r="G30" s="397" t="n">
        <v>0</v>
      </c>
      <c r="H30" s="397" t="n">
        <v>0</v>
      </c>
      <c r="I30" s="397" t="n">
        <v>0</v>
      </c>
      <c r="J30" s="377" t="n"/>
      <c r="K30" s="339" t="n"/>
      <c r="L30" s="329">
        <f>IF(A30="U",(G30-F30)+(I30-H30)+(K30-J30),"NÃO ÚTIL")</f>
        <v/>
      </c>
      <c r="M30" s="330">
        <f>IF(A30="U",L7,"NÃO ÚTIL")</f>
        <v/>
      </c>
      <c r="N30" s="331">
        <f>IF(A30="U",(L30-M30),"NÃO ÚTIL")</f>
        <v/>
      </c>
      <c r="O30" s="47" t="n"/>
      <c r="P30" s="332">
        <f>IF(N30="não útil",0,N30)</f>
        <v/>
      </c>
      <c r="Q30" s="337">
        <f>P30+Q29</f>
        <v/>
      </c>
      <c r="R30" s="332">
        <f>Q30+$Q$4</f>
        <v/>
      </c>
      <c r="S30" s="47">
        <f>IF(B30=T30,"HOJE",".")</f>
        <v/>
      </c>
      <c r="T30" s="62">
        <f>TODAY()</f>
        <v/>
      </c>
      <c r="U30" s="332">
        <f>IF(S30="HOJE",R30,0)</f>
        <v/>
      </c>
      <c r="V30" s="47" t="n"/>
    </row>
    <row r="31" ht="16.5" customHeight="1" thickBot="1">
      <c r="A31" s="17">
        <f>IF(OR(C31=2,C31=8),"F","U")</f>
        <v/>
      </c>
      <c r="B31" s="46">
        <f>B30+1</f>
        <v/>
      </c>
      <c r="C31" s="393">
        <f>WEEKDAY(B31)+1</f>
        <v/>
      </c>
      <c r="D31" s="305" t="n"/>
      <c r="E31" s="296" t="n"/>
      <c r="F31" s="397" t="n">
        <v>0</v>
      </c>
      <c r="G31" s="397" t="n">
        <v>0</v>
      </c>
      <c r="H31" s="397" t="n">
        <v>0</v>
      </c>
      <c r="I31" s="397" t="n">
        <v>0</v>
      </c>
      <c r="J31" s="378" t="n"/>
      <c r="K31" s="341" t="n"/>
      <c r="L31" s="329">
        <f>IF(A31="U",(G31-F31)+(I31-H31)+(K31-J31),"NÃO ÚTIL")</f>
        <v/>
      </c>
      <c r="M31" s="330">
        <f>IF(A31="U",L7,"NÃO ÚTIL")</f>
        <v/>
      </c>
      <c r="N31" s="331">
        <f>IF(A31="U",(L31-M31),"NÃO ÚTIL")</f>
        <v/>
      </c>
      <c r="O31" s="47" t="n"/>
      <c r="P31" s="332">
        <f>IF(N31="não útil",0,N31)</f>
        <v/>
      </c>
      <c r="Q31" s="337">
        <f>P31+Q30</f>
        <v/>
      </c>
      <c r="R31" s="332">
        <f>Q31+$Q$4</f>
        <v/>
      </c>
      <c r="S31" s="47">
        <f>IF(B31=T31,"HOJE",".")</f>
        <v/>
      </c>
      <c r="T31" s="62">
        <f>TODAY()</f>
        <v/>
      </c>
      <c r="U31" s="332">
        <f>IF(S31="HOJE",R31,0)</f>
        <v/>
      </c>
      <c r="V31" s="47" t="n"/>
    </row>
    <row r="32" ht="16.5" customHeight="1" thickBot="1">
      <c r="A32" s="17">
        <f>IF(OR(C32=2,C32=8),"F","U")</f>
        <v/>
      </c>
      <c r="B32" s="46">
        <f>B31+1</f>
        <v/>
      </c>
      <c r="C32" s="393">
        <f>WEEKDAY(B32)+1</f>
        <v/>
      </c>
      <c r="D32" s="305" t="n"/>
      <c r="E32" s="296" t="n"/>
      <c r="F32" s="397" t="n">
        <v>0</v>
      </c>
      <c r="G32" s="397" t="n">
        <v>0</v>
      </c>
      <c r="H32" s="397" t="n">
        <v>0</v>
      </c>
      <c r="I32" s="397" t="n">
        <v>0</v>
      </c>
      <c r="J32" s="338" t="n"/>
      <c r="K32" s="339" t="n"/>
      <c r="L32" s="329">
        <f>IF(A32="U",(G32-F32)+(I32-H32)+(K32-J32),"NÃO ÚTIL")</f>
        <v/>
      </c>
      <c r="M32" s="330">
        <f>IF(A32="U",L7,"NÃO ÚTIL")</f>
        <v/>
      </c>
      <c r="N32" s="331">
        <f>IF(A32="U",(L32-M32),"NÃO ÚTIL")</f>
        <v/>
      </c>
      <c r="O32" s="47" t="n"/>
      <c r="P32" s="332">
        <f>IF(N32="não útil",0,N32)</f>
        <v/>
      </c>
      <c r="Q32" s="337">
        <f>P32+Q31</f>
        <v/>
      </c>
      <c r="R32" s="332">
        <f>Q32+$Q$4</f>
        <v/>
      </c>
      <c r="S32" s="47">
        <f>IF(B32=T32,"HOJE",".")</f>
        <v/>
      </c>
      <c r="T32" s="62">
        <f>TODAY()</f>
        <v/>
      </c>
      <c r="U32" s="332">
        <f>IF(S32="HOJE",R32,0)</f>
        <v/>
      </c>
      <c r="V32" s="47" t="n"/>
    </row>
    <row r="33" ht="16.5" customHeight="1" thickBot="1">
      <c r="A33" s="17">
        <f>IF(OR(C33=2,C33=8),"F","U")</f>
        <v/>
      </c>
      <c r="B33" s="46">
        <f>B32+1</f>
        <v/>
      </c>
      <c r="C33" s="393">
        <f>WEEKDAY(B33)+1</f>
        <v/>
      </c>
      <c r="D33" s="305" t="n"/>
      <c r="E33" s="296" t="n"/>
      <c r="F33" s="397" t="n">
        <v>0</v>
      </c>
      <c r="G33" s="397" t="n">
        <v>0</v>
      </c>
      <c r="H33" s="397" t="n">
        <v>0</v>
      </c>
      <c r="I33" s="397" t="n">
        <v>0</v>
      </c>
      <c r="J33" s="340" t="n"/>
      <c r="K33" s="341" t="n"/>
      <c r="L33" s="329">
        <f>IF(A33="U",(G33-F33)+(I33-H33)+(K33-J33),"NÃO ÚTIL")</f>
        <v/>
      </c>
      <c r="M33" s="330">
        <f>IF(A33="U",L7,"NÃO ÚTIL")</f>
        <v/>
      </c>
      <c r="N33" s="331">
        <f>IF(A33="U",(L33-M33),"NÃO ÚTIL")</f>
        <v/>
      </c>
      <c r="O33" s="47" t="n"/>
      <c r="P33" s="332">
        <f>IF(N33="não útil",0,N33)</f>
        <v/>
      </c>
      <c r="Q33" s="337">
        <f>P33+Q32</f>
        <v/>
      </c>
      <c r="R33" s="332">
        <f>Q33+$Q$4</f>
        <v/>
      </c>
      <c r="S33" s="47">
        <f>IF(B33=T33,"HOJE",".")</f>
        <v/>
      </c>
      <c r="T33" s="62">
        <f>TODAY()</f>
        <v/>
      </c>
      <c r="U33" s="332">
        <f>IF(S33="HOJE",R33,0)</f>
        <v/>
      </c>
      <c r="V33" s="47" t="n"/>
    </row>
    <row r="34" ht="16.5" customHeight="1" thickBot="1">
      <c r="A34" s="17">
        <f>IF(OR(C34=2,C34=8),"F","U")</f>
        <v/>
      </c>
      <c r="B34" s="46">
        <f>B33+1</f>
        <v/>
      </c>
      <c r="C34" s="393">
        <f>WEEKDAY(B34)+1</f>
        <v/>
      </c>
      <c r="D34" s="305" t="n"/>
      <c r="E34" s="296" t="n"/>
      <c r="F34" s="397" t="n">
        <v>0</v>
      </c>
      <c r="G34" s="397" t="n">
        <v>0</v>
      </c>
      <c r="H34" s="397" t="n">
        <v>0</v>
      </c>
      <c r="I34" s="397" t="n">
        <v>0</v>
      </c>
      <c r="J34" s="338" t="n"/>
      <c r="K34" s="345" t="n"/>
      <c r="L34" s="329">
        <f>IF(A34="U",(G34-F34)+(I34-H34)+(K34-J34),"NÃO ÚTIL")</f>
        <v/>
      </c>
      <c r="M34" s="330">
        <f>IF(A34="U",L7,"NÃO ÚTIL")</f>
        <v/>
      </c>
      <c r="N34" s="331">
        <f>IF(A34="U",(L34-M34),"NÃO ÚTIL")</f>
        <v/>
      </c>
      <c r="O34" s="47" t="n"/>
      <c r="P34" s="332">
        <f>IF(N34="não útil",0,N34)</f>
        <v/>
      </c>
      <c r="Q34" s="337">
        <f>P34+Q33</f>
        <v/>
      </c>
      <c r="R34" s="332">
        <f>Q34+$Q$4</f>
        <v/>
      </c>
      <c r="S34" s="47">
        <f>IF(B34=T34,"HOJE",".")</f>
        <v/>
      </c>
      <c r="T34" s="62">
        <f>TODAY()</f>
        <v/>
      </c>
      <c r="U34" s="332">
        <f>IF(S34="HOJE",R34,0)</f>
        <v/>
      </c>
      <c r="V34" s="47" t="n"/>
    </row>
    <row r="35" ht="16.5" customHeight="1" thickBot="1">
      <c r="A35" s="17">
        <f>IF(OR(C35=2,C35=8),"F","U")</f>
        <v/>
      </c>
      <c r="B35" s="46">
        <f>B34+1</f>
        <v/>
      </c>
      <c r="C35" s="393">
        <f>WEEKDAY(B35)+1</f>
        <v/>
      </c>
      <c r="D35" s="305" t="n"/>
      <c r="E35" s="296" t="n"/>
      <c r="F35" s="397" t="n">
        <v>0</v>
      </c>
      <c r="G35" s="397" t="n">
        <v>0</v>
      </c>
      <c r="H35" s="397" t="n">
        <v>0</v>
      </c>
      <c r="I35" s="397" t="n">
        <v>0</v>
      </c>
      <c r="J35" s="338" t="n"/>
      <c r="K35" s="339" t="n"/>
      <c r="L35" s="329">
        <f>IF(A35="U",(G35-F35)+(I35-H35)+(K35-J35),"NÃO ÚTIL")</f>
        <v/>
      </c>
      <c r="M35" s="330">
        <f>IF(A35="U",L7,"NÃO ÚTIL")</f>
        <v/>
      </c>
      <c r="N35" s="331">
        <f>IF(A35="U",(L35-M35),"NÃO ÚTIL")</f>
        <v/>
      </c>
      <c r="O35" s="47" t="n"/>
      <c r="P35" s="332">
        <f>IF(N35="não útil",0,N35)</f>
        <v/>
      </c>
      <c r="Q35" s="337">
        <f>P35+Q34</f>
        <v/>
      </c>
      <c r="R35" s="332">
        <f>Q35+$Q$4</f>
        <v/>
      </c>
      <c r="S35" s="47">
        <f>IF(B35=T35,"HOJE",".")</f>
        <v/>
      </c>
      <c r="T35" s="62">
        <f>TODAY()</f>
        <v/>
      </c>
      <c r="U35" s="332">
        <f>IF(S35="HOJE",R35,0)</f>
        <v/>
      </c>
      <c r="V35" s="47" t="n"/>
    </row>
    <row r="36" ht="16.5" customHeight="1" thickBot="1">
      <c r="A36" s="17">
        <f>IF(OR(C36=2,C36=8),"F","U")</f>
        <v/>
      </c>
      <c r="B36" s="46">
        <f>B35+1</f>
        <v/>
      </c>
      <c r="C36" s="393">
        <f>WEEKDAY(B36)+1</f>
        <v/>
      </c>
      <c r="D36" s="305" t="n"/>
      <c r="E36" s="296" t="n"/>
      <c r="F36" s="397" t="n">
        <v>0</v>
      </c>
      <c r="G36" s="397" t="n">
        <v>0</v>
      </c>
      <c r="H36" s="397" t="n">
        <v>0</v>
      </c>
      <c r="I36" s="397" t="n">
        <v>0</v>
      </c>
      <c r="J36" s="335" t="n"/>
      <c r="K36" s="336" t="n"/>
      <c r="L36" s="329">
        <f>IF(A36="U",(G36-F36)+(I36-H36)+(K36-J36),"NÃO ÚTIL")</f>
        <v/>
      </c>
      <c r="M36" s="330">
        <f>IF(A36="U",L7,"NÃO ÚTIL")</f>
        <v/>
      </c>
      <c r="N36" s="331">
        <f>IF(A36="U",(L36-M36),"NÃO ÚTIL")</f>
        <v/>
      </c>
      <c r="O36" s="47" t="n"/>
      <c r="P36" s="332">
        <f>IF(N36="não útil",0,N36)</f>
        <v/>
      </c>
      <c r="Q36" s="337">
        <f>P36+Q35</f>
        <v/>
      </c>
      <c r="R36" s="332">
        <f>Q36+$Q$4</f>
        <v/>
      </c>
      <c r="S36" s="47">
        <f>IF(B36=T36,"HOJE",".")</f>
        <v/>
      </c>
      <c r="T36" s="62">
        <f>TODAY()</f>
        <v/>
      </c>
      <c r="U36" s="332">
        <f>IF(S36="HOJE",R36,0)</f>
        <v/>
      </c>
      <c r="V36" s="47" t="n"/>
    </row>
    <row r="37" ht="16.5" customHeight="1" thickBot="1">
      <c r="A37" s="17">
        <f>IF(OR(C37=2,C37=8),"F","U")</f>
        <v/>
      </c>
      <c r="B37" s="46">
        <f>B36+1</f>
        <v/>
      </c>
      <c r="C37" s="393">
        <f>WEEKDAY(B37)+1</f>
        <v/>
      </c>
      <c r="D37" s="305" t="n"/>
      <c r="E37" s="296" t="n"/>
      <c r="F37" s="397" t="n">
        <v>0</v>
      </c>
      <c r="G37" s="397" t="n">
        <v>0</v>
      </c>
      <c r="H37" s="397" t="n">
        <v>0</v>
      </c>
      <c r="I37" s="397" t="n">
        <v>0</v>
      </c>
      <c r="J37" s="338" t="n"/>
      <c r="K37" s="345" t="n"/>
      <c r="L37" s="329">
        <f>IF(A37="U",(G37-F37)+(I37-H37)+(K37-J37),"NÃO ÚTIL")</f>
        <v/>
      </c>
      <c r="M37" s="330">
        <f>IF(A37="U",L7,"NÃO ÚTIL")</f>
        <v/>
      </c>
      <c r="N37" s="331">
        <f>IF(A37="U",(L37-M37),"NÃO ÚTIL")</f>
        <v/>
      </c>
      <c r="O37" s="47" t="n"/>
      <c r="P37" s="332">
        <f>IF(N37="não útil",0,N37)</f>
        <v/>
      </c>
      <c r="Q37" s="337">
        <f>P37+Q36</f>
        <v/>
      </c>
      <c r="R37" s="332">
        <f>Q37+$Q$4</f>
        <v/>
      </c>
      <c r="S37" s="47">
        <f>IF(B37=T37,"HOJE",".")</f>
        <v/>
      </c>
      <c r="T37" s="62">
        <f>TODAY()</f>
        <v/>
      </c>
      <c r="U37" s="332">
        <f>IF(S37="HOJE",R37,0)</f>
        <v/>
      </c>
      <c r="V37" s="47" t="n"/>
    </row>
    <row r="38" ht="16.5" customHeight="1" thickBot="1">
      <c r="A38" s="17">
        <f>IF(OR(C38=2,C38=8),"F","U")</f>
        <v/>
      </c>
      <c r="B38" s="46">
        <f>B37+1</f>
        <v/>
      </c>
      <c r="C38" s="393">
        <f>WEEKDAY(B38)+1</f>
        <v/>
      </c>
      <c r="D38" s="305" t="n"/>
      <c r="E38" s="296" t="n"/>
      <c r="F38" s="397" t="n">
        <v>0</v>
      </c>
      <c r="G38" s="397" t="n">
        <v>0</v>
      </c>
      <c r="H38" s="397" t="n">
        <v>0</v>
      </c>
      <c r="I38" s="397" t="n">
        <v>0</v>
      </c>
      <c r="J38" s="340" t="n"/>
      <c r="K38" s="345" t="n"/>
      <c r="L38" s="329">
        <f>IF(A38="U",(G38-F38)+(I38-H38)+(K38-J38),"NÃO ÚTIL")</f>
        <v/>
      </c>
      <c r="M38" s="330">
        <f>IF(A38="U",L7,"NÃO ÚTIL")</f>
        <v/>
      </c>
      <c r="N38" s="331">
        <f>IF(A38="U",(L38-M38),"NÃO ÚTIL")</f>
        <v/>
      </c>
      <c r="O38" s="47" t="n"/>
      <c r="P38" s="332">
        <f>IF(N38="não útil",0,N38)</f>
        <v/>
      </c>
      <c r="Q38" s="337">
        <f>P38+Q37</f>
        <v/>
      </c>
      <c r="R38" s="332">
        <f>Q38+$Q$4</f>
        <v/>
      </c>
      <c r="S38" s="47">
        <f>IF(B38=T38,"HOJE",".")</f>
        <v/>
      </c>
      <c r="T38" s="62">
        <f>TODAY()</f>
        <v/>
      </c>
      <c r="U38" s="332">
        <f>IF(S38="HOJE",R38,0)</f>
        <v/>
      </c>
      <c r="V38" s="47" t="n"/>
    </row>
    <row r="39" ht="16.5" customHeight="1" thickBot="1">
      <c r="A39" s="17">
        <f>IF(OR(C39=2,C39=8),"F","U")</f>
        <v/>
      </c>
      <c r="B39" s="46">
        <f>B38+1</f>
        <v/>
      </c>
      <c r="C39" s="393">
        <f>WEEKDAY(B39)+1</f>
        <v/>
      </c>
      <c r="D39" s="305" t="n"/>
      <c r="E39" s="296" t="n"/>
      <c r="F39" s="397" t="n">
        <v>0</v>
      </c>
      <c r="G39" s="397" t="n">
        <v>0</v>
      </c>
      <c r="H39" s="397" t="n">
        <v>0</v>
      </c>
      <c r="I39" s="397" t="n">
        <v>0</v>
      </c>
      <c r="J39" s="377" t="n"/>
      <c r="K39" s="339" t="n"/>
      <c r="L39" s="329">
        <f>IF(A39="U",(G39-F39)+(I39-H39)+(K39-J39),"NÃO ÚTIL")</f>
        <v/>
      </c>
      <c r="M39" s="330">
        <f>IF(A39="U",L7,"NÃO ÚTIL")</f>
        <v/>
      </c>
      <c r="N39" s="331">
        <f>IF(A39="U",(L39-M39),"NÃO ÚTIL")</f>
        <v/>
      </c>
      <c r="O39" s="47" t="n"/>
      <c r="P39" s="332">
        <f>IF(N39="não útil",0,N39)</f>
        <v/>
      </c>
      <c r="Q39" s="337">
        <f>P39+Q38</f>
        <v/>
      </c>
      <c r="R39" s="332">
        <f>Q39+$Q$4</f>
        <v/>
      </c>
      <c r="S39" s="47">
        <f>IF(B39=T39,"HOJE",".")</f>
        <v/>
      </c>
      <c r="T39" s="62">
        <f>TODAY()</f>
        <v/>
      </c>
      <c r="U39" s="332">
        <f>IF(S39="HOJE",R39,0)</f>
        <v/>
      </c>
      <c r="V39" s="47" t="n"/>
    </row>
    <row r="40" ht="16.5" customHeight="1" thickBot="1">
      <c r="A40" s="17">
        <f>IF(OR(C40=2,C40=8),"F","U")</f>
        <v/>
      </c>
      <c r="B40" s="46">
        <f>B39+1</f>
        <v/>
      </c>
      <c r="C40" s="393">
        <f>WEEKDAY(B40)+1</f>
        <v/>
      </c>
      <c r="D40" s="305" t="n"/>
      <c r="E40" s="296" t="n"/>
      <c r="F40" s="397" t="n">
        <v>0</v>
      </c>
      <c r="G40" s="397" t="n">
        <v>0</v>
      </c>
      <c r="H40" s="397" t="n">
        <v>0</v>
      </c>
      <c r="I40" s="397" t="n">
        <v>0</v>
      </c>
      <c r="J40" s="378" t="n"/>
      <c r="K40" s="341" t="n"/>
      <c r="L40" s="329">
        <f>IF(A40="U",(G40-F40)+(I40-H40)+(K40-J40),"NÃO ÚTIL")</f>
        <v/>
      </c>
      <c r="M40" s="330">
        <f>IF(A40="U",L7,"NÃO ÚTIL")</f>
        <v/>
      </c>
      <c r="N40" s="331">
        <f>IF(A40="U",(L40-M40),"NÃO ÚTIL")</f>
        <v/>
      </c>
      <c r="O40" s="47" t="n"/>
      <c r="P40" s="332">
        <f>IF(N40="não útil",0,N40)</f>
        <v/>
      </c>
      <c r="Q40" s="337">
        <f>P40+Q39</f>
        <v/>
      </c>
      <c r="R40" s="332">
        <f>Q40+$Q$4</f>
        <v/>
      </c>
      <c r="S40" s="47">
        <f>IF(B40=T40,"HOJE",".")</f>
        <v/>
      </c>
      <c r="T40" s="62">
        <f>TODAY()</f>
        <v/>
      </c>
      <c r="U40" s="332">
        <f>IF(S40="HOJE",R40,0)</f>
        <v/>
      </c>
      <c r="V40" s="47" t="n"/>
    </row>
    <row r="41" ht="16.5" customHeight="1" thickBot="1">
      <c r="A41" s="17">
        <f>IF(OR(C41=2,C41=8),"F","U")</f>
        <v/>
      </c>
      <c r="B41" s="46">
        <f>B40+1</f>
        <v/>
      </c>
      <c r="C41" s="393">
        <f>WEEKDAY(B41)+1</f>
        <v/>
      </c>
      <c r="D41" s="305" t="n"/>
      <c r="E41" s="296" t="n"/>
      <c r="F41" s="397" t="n">
        <v>0</v>
      </c>
      <c r="G41" s="397" t="n">
        <v>0</v>
      </c>
      <c r="H41" s="397" t="n">
        <v>0</v>
      </c>
      <c r="I41" s="397" t="n">
        <v>0</v>
      </c>
      <c r="J41" s="338" t="n"/>
      <c r="K41" s="339" t="n"/>
      <c r="L41" s="329">
        <f>IF(A41="U",(G41-F41)+(I41-H41)+(K41-J41),"NÃO ÚTIL")</f>
        <v/>
      </c>
      <c r="M41" s="330">
        <f>IF(A41="U",L7,"NÃO ÚTIL")</f>
        <v/>
      </c>
      <c r="N41" s="331">
        <f>IF(A41="U",(L41-M41),"NÃO ÚTIL")</f>
        <v/>
      </c>
      <c r="O41" s="47" t="n"/>
      <c r="P41" s="332">
        <f>IF(N41="não útil",0,N41)</f>
        <v/>
      </c>
      <c r="Q41" s="337">
        <f>P41+Q40</f>
        <v/>
      </c>
      <c r="R41" s="332">
        <f>Q41+$Q$4</f>
        <v/>
      </c>
      <c r="S41" s="47">
        <f>IF(B41=T41,"HOJE",".")</f>
        <v/>
      </c>
      <c r="T41" s="62">
        <f>TODAY()</f>
        <v/>
      </c>
      <c r="U41" s="332">
        <f>IF(S41="HOJE",R41,0)</f>
        <v/>
      </c>
      <c r="V41" s="47" t="n"/>
    </row>
    <row r="42" ht="16.5" customHeight="1" thickBot="1">
      <c r="A42" s="17">
        <f>IF(OR(C42=2,C42=8),"F","U")</f>
        <v/>
      </c>
      <c r="B42" s="46">
        <f>B41+1</f>
        <v/>
      </c>
      <c r="C42" s="393">
        <f>WEEKDAY(B42)+1</f>
        <v/>
      </c>
      <c r="D42" s="305" t="n"/>
      <c r="E42" s="296" t="n"/>
      <c r="F42" s="397" t="n">
        <v>0</v>
      </c>
      <c r="G42" s="397" t="n">
        <v>0</v>
      </c>
      <c r="H42" s="397" t="n">
        <v>0</v>
      </c>
      <c r="I42" s="397" t="n">
        <v>0</v>
      </c>
      <c r="J42" s="377" t="n"/>
      <c r="K42" s="341" t="n"/>
      <c r="L42" s="329">
        <f>IF(A42="U",(G42-F42)+(I42-H42)+(K42-J42),"NÃO ÚTIL")</f>
        <v/>
      </c>
      <c r="M42" s="330">
        <f>IF(A42="U",L7,"NÃO ÚTIL")</f>
        <v/>
      </c>
      <c r="N42" s="331">
        <f>IF(A42="U",(L42-M42),"NÃO ÚTIL")</f>
        <v/>
      </c>
      <c r="O42" s="47" t="n"/>
      <c r="P42" s="332">
        <f>IF(N42="não útil",0,N42)</f>
        <v/>
      </c>
      <c r="Q42" s="337">
        <f>P42+Q41</f>
        <v/>
      </c>
      <c r="R42" s="332">
        <f>Q42+$Q$4</f>
        <v/>
      </c>
      <c r="S42" s="47">
        <f>IF(B42=T42,"HOJE",".")</f>
        <v/>
      </c>
      <c r="T42" s="62">
        <f>TODAY()</f>
        <v/>
      </c>
      <c r="U42" s="332">
        <f>IF(S42="HOJE",R42,0)</f>
        <v/>
      </c>
      <c r="V42" s="47" t="n"/>
    </row>
    <row r="43" ht="16.5" customHeight="1" thickBot="1">
      <c r="A43" s="17">
        <f>IF(OR(C43=2,C43=8),"F","U")</f>
        <v/>
      </c>
      <c r="B43" s="46">
        <f>B42+1</f>
        <v/>
      </c>
      <c r="C43" s="393">
        <f>WEEKDAY(B43)+1</f>
        <v/>
      </c>
      <c r="D43" s="305" t="n"/>
      <c r="E43" s="296" t="n"/>
      <c r="F43" s="397" t="n">
        <v>0</v>
      </c>
      <c r="G43" s="397" t="n">
        <v>0</v>
      </c>
      <c r="H43" s="397" t="n">
        <v>0</v>
      </c>
      <c r="I43" s="397" t="n">
        <v>0</v>
      </c>
      <c r="J43" s="377" t="n"/>
      <c r="K43" s="339" t="n"/>
      <c r="L43" s="329">
        <f>IF(A43="U",(G43-F43)+(I43-H43)+(K43-J43),"NÃO ÚTIL")</f>
        <v/>
      </c>
      <c r="M43" s="330">
        <f>IF(A43="U",L7,"NÃO ÚTIL")</f>
        <v/>
      </c>
      <c r="N43" s="331">
        <f>IF(A43="U",(L43-M43),"NÃO ÚTIL")</f>
        <v/>
      </c>
      <c r="O43" s="47" t="n"/>
      <c r="P43" s="332">
        <f>IF(N43="não útil",0,N43)</f>
        <v/>
      </c>
      <c r="Q43" s="337">
        <f>P43+Q42</f>
        <v/>
      </c>
      <c r="R43" s="332">
        <f>Q43+$Q$4</f>
        <v/>
      </c>
      <c r="S43" s="47">
        <f>IF(B43=T43,"HOJE",".")</f>
        <v/>
      </c>
      <c r="T43" s="62">
        <f>TODAY()</f>
        <v/>
      </c>
      <c r="U43" s="332">
        <f>IF(S43="HOJE",R43,0)</f>
        <v/>
      </c>
      <c r="V43" s="47" t="n"/>
    </row>
    <row r="44" ht="23.25" customHeight="1" thickBot="1">
      <c r="A44" s="346" t="inlineStr">
        <is>
          <t>TOTAL MÊS:</t>
        </is>
      </c>
      <c r="B44" s="347" t="n"/>
      <c r="C44" s="347" t="n"/>
      <c r="D44" s="347" t="n"/>
      <c r="E44" s="347" t="n"/>
      <c r="F44" s="347" t="n"/>
      <c r="G44" s="347" t="n"/>
      <c r="H44" s="347" t="n"/>
      <c r="I44" s="347" t="n"/>
      <c r="J44" s="347" t="n"/>
      <c r="K44" s="348" t="n"/>
      <c r="L44" s="349">
        <f>SUM(L14:L43)</f>
        <v/>
      </c>
      <c r="M44" s="349">
        <f>SUM(M14:M43)</f>
        <v/>
      </c>
      <c r="N44" s="350">
        <f>SUM(N14:N43)</f>
        <v/>
      </c>
      <c r="O44" s="47" t="n"/>
      <c r="P44" s="332" t="n"/>
      <c r="Q44" s="337" t="n"/>
      <c r="R44" s="332" t="n"/>
      <c r="S44" s="47" t="n"/>
      <c r="T44" s="62" t="n"/>
      <c r="U44" s="332" t="n"/>
      <c r="V44" s="47" t="n"/>
    </row>
    <row r="45" ht="12" customHeight="1" thickBot="1">
      <c r="A45" s="247" t="inlineStr">
        <is>
          <t>OBS:</t>
        </is>
      </c>
      <c r="B45" s="292" t="n"/>
      <c r="C45" s="160" t="n"/>
      <c r="D45" s="292" t="n"/>
      <c r="E45" s="292" t="n"/>
      <c r="F45" s="292" t="n"/>
      <c r="G45" s="292" t="n"/>
      <c r="H45" s="292" t="n"/>
      <c r="I45" s="293" t="n"/>
      <c r="J45" s="161" t="n"/>
      <c r="K45" s="347" t="n"/>
      <c r="L45" s="347" t="n"/>
      <c r="M45" s="347" t="n"/>
      <c r="N45" s="352" t="inlineStr">
        <is>
          <t>HORA (S)</t>
        </is>
      </c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 ht="12" customHeight="1" thickBot="1">
      <c r="A46" s="106" t="n"/>
      <c r="B46" s="297" t="n"/>
      <c r="C46" s="297" t="n"/>
      <c r="D46" s="297" t="n"/>
      <c r="E46" s="297" t="n"/>
      <c r="F46" s="297" t="n"/>
      <c r="G46" s="297" t="n"/>
      <c r="H46" s="297" t="n"/>
      <c r="I46" s="298" t="n"/>
      <c r="J46" s="353" t="inlineStr">
        <is>
          <t>CARGA HORÁRIA TRABAHADA (MÊS)</t>
        </is>
      </c>
      <c r="K46" s="354" t="n"/>
      <c r="L46" s="355" t="n"/>
      <c r="M46" s="356">
        <f>L44</f>
        <v/>
      </c>
      <c r="N46" s="355" t="n"/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 ht="12" customHeight="1" thickBot="1">
      <c r="A47" s="106" t="n"/>
      <c r="B47" s="297" t="n"/>
      <c r="C47" s="297" t="n"/>
      <c r="D47" s="297" t="n"/>
      <c r="E47" s="297" t="n"/>
      <c r="F47" s="297" t="n"/>
      <c r="G47" s="297" t="n"/>
      <c r="H47" s="297" t="n"/>
      <c r="I47" s="298" t="n"/>
      <c r="J47" s="322" t="n"/>
      <c r="K47" s="322" t="n"/>
      <c r="L47" s="318" t="n"/>
      <c r="M47" s="321" t="n"/>
      <c r="N47" s="318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 ht="12" customHeight="1" thickBot="1">
      <c r="A48" s="106" t="n"/>
      <c r="B48" s="297" t="n"/>
      <c r="C48" s="297" t="n"/>
      <c r="D48" s="297" t="n"/>
      <c r="E48" s="297" t="n"/>
      <c r="F48" s="297" t="n"/>
      <c r="G48" s="297" t="n"/>
      <c r="H48" s="297" t="n"/>
      <c r="I48" s="298" t="n"/>
      <c r="J48" s="353" t="inlineStr">
        <is>
          <t>CARGA HORÁRIA PREVISTA (MÊS)</t>
        </is>
      </c>
      <c r="K48" s="354" t="n"/>
      <c r="L48" s="355" t="n"/>
      <c r="M48" s="356">
        <f>M44</f>
        <v/>
      </c>
      <c r="N48" s="355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12" customHeight="1" thickBot="1">
      <c r="A49" s="106" t="n"/>
      <c r="B49" s="297" t="n"/>
      <c r="C49" s="297" t="n"/>
      <c r="D49" s="297" t="n"/>
      <c r="E49" s="297" t="n"/>
      <c r="F49" s="297" t="n"/>
      <c r="G49" s="297" t="n"/>
      <c r="H49" s="297" t="n"/>
      <c r="I49" s="298" t="n"/>
      <c r="J49" s="322" t="n"/>
      <c r="K49" s="322" t="n"/>
      <c r="L49" s="318" t="n"/>
      <c r="M49" s="321" t="n"/>
      <c r="N49" s="318" t="n"/>
      <c r="O49" s="47" t="n"/>
      <c r="P49" s="47" t="n"/>
      <c r="Q49" s="47" t="n"/>
      <c r="R49" s="47" t="n"/>
      <c r="S49" s="47" t="n"/>
      <c r="T49" s="47" t="n"/>
      <c r="U49" s="47" t="n"/>
      <c r="V49" s="47" t="n"/>
    </row>
    <row r="50" ht="12" customHeight="1" thickBot="1">
      <c r="A50" s="106" t="n"/>
      <c r="B50" s="297" t="n"/>
      <c r="C50" s="297" t="n"/>
      <c r="D50" s="297" t="n"/>
      <c r="E50" s="297" t="n"/>
      <c r="F50" s="297" t="n"/>
      <c r="G50" s="297" t="n"/>
      <c r="H50" s="297" t="n"/>
      <c r="I50" s="298" t="n"/>
      <c r="J50" s="357" t="inlineStr">
        <is>
          <t>SALDO CARGA HORÁRIA (MÊS)</t>
        </is>
      </c>
      <c r="K50" s="354" t="n"/>
      <c r="L50" s="355" t="n"/>
      <c r="M50" s="356">
        <f>N44</f>
        <v/>
      </c>
      <c r="N50" s="355" t="n"/>
      <c r="O50" s="47" t="n"/>
      <c r="P50" s="47" t="n"/>
      <c r="Q50" s="47" t="n"/>
      <c r="R50" s="47" t="n"/>
      <c r="S50" s="47" t="n"/>
      <c r="T50" s="47" t="n"/>
      <c r="U50" s="47" t="n"/>
      <c r="V50" s="47" t="n"/>
    </row>
    <row r="51" ht="12" customHeight="1" thickBot="1">
      <c r="A51" s="106" t="n"/>
      <c r="B51" s="297" t="n"/>
      <c r="C51" s="297" t="n"/>
      <c r="D51" s="297" t="n"/>
      <c r="E51" s="297" t="n"/>
      <c r="F51" s="297" t="n"/>
      <c r="G51" s="297" t="n"/>
      <c r="H51" s="297" t="n"/>
      <c r="I51" s="298" t="n"/>
      <c r="J51" s="322" t="n"/>
      <c r="K51" s="322" t="n"/>
      <c r="L51" s="318" t="n"/>
      <c r="M51" s="321" t="n"/>
      <c r="N51" s="318" t="n"/>
      <c r="O51" s="47" t="n"/>
      <c r="P51" s="47" t="n"/>
      <c r="Q51" s="47" t="n"/>
      <c r="R51" s="47" t="n"/>
      <c r="S51" s="47" t="n"/>
      <c r="T51" s="47" t="n"/>
      <c r="U51" s="47" t="n"/>
      <c r="V51" s="47" t="n"/>
    </row>
    <row r="52" ht="12" customHeight="1">
      <c r="A52" s="106" t="n"/>
      <c r="B52" s="297" t="n"/>
      <c r="C52" s="297" t="n"/>
      <c r="D52" s="297" t="n"/>
      <c r="E52" s="297" t="n"/>
      <c r="F52" s="297" t="n"/>
      <c r="G52" s="297" t="n"/>
      <c r="H52" s="297" t="n"/>
      <c r="I52" s="298" t="n"/>
      <c r="J52" s="357" t="inlineStr">
        <is>
          <t>SALDO MÊS ANTERIOR</t>
        </is>
      </c>
      <c r="K52" s="354" t="n"/>
      <c r="L52" s="355" t="n"/>
      <c r="M52" s="356">
        <f>AGO!M55</f>
        <v/>
      </c>
      <c r="N52" s="355" t="n"/>
      <c r="O52" s="47" t="n"/>
      <c r="P52" s="47" t="n"/>
      <c r="Q52" s="47" t="n"/>
      <c r="R52" s="47" t="n"/>
      <c r="S52" s="47" t="n"/>
      <c r="T52" s="47" t="n"/>
      <c r="U52" s="47" t="n"/>
      <c r="V52" s="47" t="n"/>
    </row>
    <row r="53" ht="12" customHeight="1" thickBot="1">
      <c r="A53" s="106" t="n"/>
      <c r="B53" s="297" t="n"/>
      <c r="C53" s="297" t="n"/>
      <c r="D53" s="297" t="n"/>
      <c r="E53" s="297" t="n"/>
      <c r="F53" s="297" t="n"/>
      <c r="G53" s="297" t="n"/>
      <c r="H53" s="297" t="n"/>
      <c r="I53" s="298" t="n"/>
      <c r="J53" s="322" t="n"/>
      <c r="K53" s="322" t="n"/>
      <c r="L53" s="318" t="n"/>
      <c r="M53" s="321" t="n"/>
      <c r="N53" s="318" t="n"/>
      <c r="O53" s="47" t="n"/>
      <c r="P53" s="47" t="n"/>
      <c r="Q53" s="47" t="n"/>
      <c r="R53" s="47" t="n"/>
      <c r="S53" s="47" t="n"/>
      <c r="T53" s="47" t="n"/>
      <c r="U53" s="47" t="n"/>
      <c r="V53" s="47" t="n"/>
    </row>
    <row r="54" ht="12" customHeight="1">
      <c r="A54" s="106" t="n"/>
      <c r="B54" s="297" t="n"/>
      <c r="C54" s="297" t="n"/>
      <c r="D54" s="297" t="n"/>
      <c r="E54" s="297" t="n"/>
      <c r="F54" s="297" t="n"/>
      <c r="G54" s="297" t="n"/>
      <c r="H54" s="297" t="n"/>
      <c r="I54" s="298" t="n"/>
      <c r="J54" s="362" t="inlineStr">
        <is>
          <t>SALDO TOTAL</t>
        </is>
      </c>
      <c r="K54" s="354" t="n"/>
      <c r="L54" s="355" t="n"/>
      <c r="M54" s="356">
        <f>SUM(M50:N53)</f>
        <v/>
      </c>
      <c r="N54" s="355" t="n"/>
      <c r="O54" s="47" t="n"/>
      <c r="P54" s="47" t="n"/>
      <c r="Q54" s="47" t="n"/>
      <c r="R54" s="47" t="n"/>
      <c r="S54" s="47" t="n"/>
      <c r="T54" s="47" t="n"/>
      <c r="U54" s="47" t="n"/>
      <c r="V54" s="47" t="n"/>
    </row>
    <row r="55" ht="12" customHeight="1" thickBot="1">
      <c r="A55" s="106" t="n"/>
      <c r="B55" s="297" t="n"/>
      <c r="C55" s="297" t="n"/>
      <c r="D55" s="297" t="n"/>
      <c r="E55" s="297" t="n"/>
      <c r="F55" s="297" t="n"/>
      <c r="G55" s="297" t="n"/>
      <c r="H55" s="297" t="n"/>
      <c r="I55" s="298" t="n"/>
      <c r="J55" s="322" t="n"/>
      <c r="K55" s="322" t="n"/>
      <c r="L55" s="318" t="n"/>
      <c r="M55" s="321" t="n"/>
      <c r="N55" s="318" t="n"/>
      <c r="O55" s="47" t="n"/>
      <c r="P55" s="47" t="n"/>
      <c r="Q55" s="47" t="n"/>
      <c r="R55" s="47" t="n"/>
      <c r="S55" s="47" t="n"/>
      <c r="T55" s="47" t="n"/>
      <c r="U55" s="47" t="n"/>
      <c r="V55" s="47" t="n"/>
    </row>
    <row r="56" ht="12" customHeight="1" thickBot="1">
      <c r="A56" s="106" t="n"/>
      <c r="B56" s="297" t="n"/>
      <c r="C56" s="297" t="n"/>
      <c r="D56" s="297" t="n"/>
      <c r="E56" s="297" t="n"/>
      <c r="F56" s="297" t="n"/>
      <c r="G56" s="297" t="n"/>
      <c r="H56" s="297" t="n"/>
      <c r="I56" s="298" t="n"/>
      <c r="J56" s="357" t="inlineStr">
        <is>
          <t>SALDO: CREDOR? DEVEDOR?</t>
        </is>
      </c>
      <c r="K56" s="354" t="n"/>
      <c r="L56" s="355" t="n"/>
      <c r="M56" s="363">
        <f>IF(M54&lt;0,"DVEEDOR","CREDOR")</f>
        <v/>
      </c>
      <c r="N56" s="355" t="n"/>
      <c r="O56" s="47" t="n"/>
      <c r="P56" s="47" t="n"/>
      <c r="Q56" s="47" t="n"/>
      <c r="R56" s="47" t="n"/>
      <c r="S56" s="47" t="n"/>
      <c r="T56" s="47" t="n"/>
      <c r="U56" s="47" t="n"/>
      <c r="V56" s="47" t="n"/>
    </row>
    <row r="57" ht="12" customHeight="1" thickBot="1">
      <c r="A57" s="106" t="n"/>
      <c r="B57" s="297" t="n"/>
      <c r="C57" s="297" t="n"/>
      <c r="D57" s="297" t="n"/>
      <c r="E57" s="297" t="n"/>
      <c r="F57" s="297" t="n"/>
      <c r="G57" s="297" t="n"/>
      <c r="H57" s="297" t="n"/>
      <c r="I57" s="298" t="n"/>
      <c r="J57" s="322" t="n"/>
      <c r="K57" s="322" t="n"/>
      <c r="L57" s="318" t="n"/>
      <c r="M57" s="321" t="n"/>
      <c r="N57" s="318" t="n"/>
      <c r="O57" s="47" t="n"/>
      <c r="P57" s="47" t="n"/>
      <c r="Q57" s="47" t="n"/>
      <c r="R57" s="47" t="n"/>
      <c r="S57" s="47" t="n"/>
      <c r="T57" s="47" t="n"/>
      <c r="U57" s="47" t="n"/>
      <c r="V57" s="47" t="n"/>
    </row>
    <row r="58" ht="12" customHeight="1">
      <c r="A58" s="106" t="n"/>
      <c r="B58" s="297" t="n"/>
      <c r="C58" s="297" t="n"/>
      <c r="D58" s="297" t="n"/>
      <c r="E58" s="297" t="n"/>
      <c r="F58" s="297" t="n"/>
      <c r="G58" s="297" t="n"/>
      <c r="H58" s="297" t="n"/>
      <c r="I58" s="298" t="n"/>
      <c r="J58" s="260" t="n"/>
      <c r="K58" s="354" t="n"/>
      <c r="L58" s="355" t="n"/>
      <c r="M58" s="364" t="n"/>
      <c r="N58" s="355" t="n"/>
      <c r="O58" s="47" t="n"/>
      <c r="P58" s="47" t="n"/>
      <c r="Q58" s="47" t="n"/>
      <c r="R58" s="47" t="n"/>
      <c r="S58" s="47" t="n"/>
      <c r="T58" s="47" t="n"/>
      <c r="U58" s="47" t="n"/>
      <c r="V58" s="47" t="n"/>
    </row>
    <row r="59" ht="12" customHeight="1" thickBot="1">
      <c r="A59" s="106" t="n"/>
      <c r="B59" s="297" t="n"/>
      <c r="C59" s="297" t="n"/>
      <c r="D59" s="297" t="n"/>
      <c r="E59" s="297" t="n"/>
      <c r="F59" s="297" t="n"/>
      <c r="G59" s="297" t="n"/>
      <c r="H59" s="297" t="n"/>
      <c r="I59" s="298" t="n"/>
      <c r="J59" s="322" t="n"/>
      <c r="K59" s="322" t="n"/>
      <c r="L59" s="318" t="n"/>
      <c r="M59" s="321" t="n"/>
      <c r="N59" s="318" t="n"/>
      <c r="O59" s="47" t="n"/>
      <c r="P59" s="47" t="n"/>
      <c r="Q59" s="47" t="n"/>
      <c r="R59" s="47" t="n"/>
      <c r="S59" s="47" t="n"/>
      <c r="T59" s="47" t="n"/>
      <c r="U59" s="47" t="n"/>
      <c r="V59" s="47" t="n"/>
    </row>
    <row r="60" ht="12" customHeight="1" thickBot="1">
      <c r="A60" s="116" t="n"/>
      <c r="B60" s="312" t="n"/>
      <c r="C60" s="312" t="n"/>
      <c r="D60" s="312" t="n"/>
      <c r="E60" s="312" t="n"/>
      <c r="F60" s="312" t="n"/>
      <c r="G60" s="312" t="n"/>
      <c r="H60" s="312" t="n"/>
      <c r="I60" s="313" t="n"/>
      <c r="J60" s="111" t="n"/>
      <c r="K60" s="322" t="n"/>
      <c r="L60" s="318" t="n"/>
      <c r="M60" s="394" t="n"/>
      <c r="N60" s="318" t="n"/>
      <c r="O60" s="47" t="n"/>
      <c r="P60" s="47" t="n"/>
      <c r="Q60" s="47" t="n"/>
      <c r="R60" s="47" t="n"/>
      <c r="S60" s="47" t="n"/>
      <c r="T60" s="47" t="n"/>
      <c r="U60" s="47" t="n"/>
      <c r="V60" s="47" t="n"/>
    </row>
    <row r="61" ht="15" customHeight="1">
      <c r="A61" s="51" t="n"/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1" t="n"/>
      <c r="L61" s="104" t="inlineStr">
        <is>
          <t>Colaboração do Tônio</t>
        </is>
      </c>
      <c r="M61" s="354" t="n"/>
      <c r="N61" s="354" t="n"/>
      <c r="O61" s="47" t="n"/>
      <c r="P61" s="47" t="n"/>
      <c r="Q61" s="47" t="n"/>
      <c r="R61" s="47" t="n"/>
      <c r="S61" s="47" t="n"/>
      <c r="T61" s="47" t="n"/>
      <c r="U61" s="47" t="n"/>
      <c r="V61" s="47" t="n"/>
    </row>
    <row r="62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P62" s="47" t="n"/>
      <c r="Q62" s="47" t="n"/>
      <c r="R62" s="47" t="n"/>
      <c r="S62" s="47" t="n"/>
      <c r="T62" s="47" t="n"/>
      <c r="U62" s="47" t="n"/>
      <c r="V62" s="47" t="n"/>
    </row>
  </sheetData>
  <mergeCells count="93">
    <mergeCell ref="A12:E13"/>
    <mergeCell ref="C31:E31"/>
    <mergeCell ref="J10:K10"/>
    <mergeCell ref="C40:E40"/>
    <mergeCell ref="A56:I56"/>
    <mergeCell ref="C21:E21"/>
    <mergeCell ref="M60:N60"/>
    <mergeCell ref="A7:B7"/>
    <mergeCell ref="C23:E23"/>
    <mergeCell ref="A53:I53"/>
    <mergeCell ref="R12:S12"/>
    <mergeCell ref="C45:I45"/>
    <mergeCell ref="C18:E18"/>
    <mergeCell ref="M58:N59"/>
    <mergeCell ref="L61:N61"/>
    <mergeCell ref="C34:E34"/>
    <mergeCell ref="A48:I48"/>
    <mergeCell ref="C42:E42"/>
    <mergeCell ref="J45:M45"/>
    <mergeCell ref="A59:I59"/>
    <mergeCell ref="J54:L55"/>
    <mergeCell ref="C20:E20"/>
    <mergeCell ref="J56:L57"/>
    <mergeCell ref="C25:E25"/>
    <mergeCell ref="M46:N47"/>
    <mergeCell ref="J46:L47"/>
    <mergeCell ref="A46:I46"/>
    <mergeCell ref="C8:I8"/>
    <mergeCell ref="A11:B11"/>
    <mergeCell ref="C22:E22"/>
    <mergeCell ref="A45:B45"/>
    <mergeCell ref="L8:N8"/>
    <mergeCell ref="C39:E39"/>
    <mergeCell ref="C32:E32"/>
    <mergeCell ref="C38:E38"/>
    <mergeCell ref="A52:I52"/>
    <mergeCell ref="A3:N3"/>
    <mergeCell ref="A5:N5"/>
    <mergeCell ref="A8:B8"/>
    <mergeCell ref="C15:E15"/>
    <mergeCell ref="F11:H11"/>
    <mergeCell ref="C24:E24"/>
    <mergeCell ref="H12:I12"/>
    <mergeCell ref="C33:E33"/>
    <mergeCell ref="J12:K12"/>
    <mergeCell ref="A49:I49"/>
    <mergeCell ref="A4:N4"/>
    <mergeCell ref="J60:L60"/>
    <mergeCell ref="C26:E26"/>
    <mergeCell ref="C35:E35"/>
    <mergeCell ref="C16:E16"/>
    <mergeCell ref="K9:L9"/>
    <mergeCell ref="C7:I7"/>
    <mergeCell ref="A55:I55"/>
    <mergeCell ref="K6:N6"/>
    <mergeCell ref="C11:E11"/>
    <mergeCell ref="C36:E36"/>
    <mergeCell ref="A57:I57"/>
    <mergeCell ref="J48:L49"/>
    <mergeCell ref="M56:N57"/>
    <mergeCell ref="C28:E28"/>
    <mergeCell ref="C37:E37"/>
    <mergeCell ref="A2:N2"/>
    <mergeCell ref="C10:I10"/>
    <mergeCell ref="C30:E30"/>
    <mergeCell ref="M48:N49"/>
    <mergeCell ref="C14:E14"/>
    <mergeCell ref="C9:I9"/>
    <mergeCell ref="I11:N11"/>
    <mergeCell ref="P12:Q12"/>
    <mergeCell ref="M54:N55"/>
    <mergeCell ref="J50:L51"/>
    <mergeCell ref="C41:E41"/>
    <mergeCell ref="J58:L59"/>
    <mergeCell ref="J52:L53"/>
    <mergeCell ref="A50:I50"/>
    <mergeCell ref="C43:E43"/>
    <mergeCell ref="A6:B6"/>
    <mergeCell ref="F12:G12"/>
    <mergeCell ref="C27:E27"/>
    <mergeCell ref="A47:I47"/>
    <mergeCell ref="C17:E17"/>
    <mergeCell ref="C6:I6"/>
    <mergeCell ref="M52:N53"/>
    <mergeCell ref="C19:E19"/>
    <mergeCell ref="J7:K7"/>
    <mergeCell ref="M50:N51"/>
    <mergeCell ref="A58:I58"/>
    <mergeCell ref="A51:I51"/>
    <mergeCell ref="A60:I60"/>
    <mergeCell ref="C29:E29"/>
    <mergeCell ref="A44:K44"/>
    <mergeCell ref="A54:I54"/>
  </mergeCells>
  <conditionalFormatting sqref="A14:A43">
    <cfRule type="containsText" priority="69" operator="containsText" dxfId="25" stopIfTrue="1" text="F">
      <formula>NOT(ISERROR(SEARCH("F",A14)))</formula>
    </cfRule>
  </conditionalFormatting>
  <conditionalFormatting sqref="C14:E43">
    <cfRule type="cellIs" priority="67" operator="equal" dxfId="11" stopIfTrue="1">
      <formula>2</formula>
    </cfRule>
    <cfRule type="cellIs" priority="68" operator="equal" dxfId="11" stopIfTrue="1">
      <formula>8</formula>
    </cfRule>
  </conditionalFormatting>
  <conditionalFormatting sqref="L44">
    <cfRule type="cellIs" priority="62" operator="equal" dxfId="10" stopIfTrue="1">
      <formula>0</formula>
    </cfRule>
  </conditionalFormatting>
  <conditionalFormatting sqref="L14:M43">
    <cfRule type="cellIs" priority="64" operator="equal" dxfId="10" stopIfTrue="1">
      <formula>0</formula>
    </cfRule>
  </conditionalFormatting>
  <conditionalFormatting sqref="L14:N44">
    <cfRule type="cellIs" priority="63" operator="greaterThan" dxfId="10" stopIfTrue="1">
      <formula>0</formula>
    </cfRule>
    <cfRule type="cellIs" priority="65" operator="lessThan" dxfId="11" stopIfTrue="1">
      <formula>0</formula>
    </cfRule>
  </conditionalFormatting>
  <conditionalFormatting sqref="M46:N47">
    <cfRule type="cellIs" priority="58" operator="equal" dxfId="10" stopIfTrue="1">
      <formula>0</formula>
    </cfRule>
  </conditionalFormatting>
  <conditionalFormatting sqref="M46:N51 M52 M54 M56:N57 M58">
    <cfRule type="cellIs" priority="60" operator="greaterThan" dxfId="10" stopIfTrue="1">
      <formula>0</formula>
    </cfRule>
    <cfRule type="cellIs" priority="61" operator="lessThan" dxfId="11" stopIfTrue="1">
      <formula>0</formula>
    </cfRule>
  </conditionalFormatting>
  <conditionalFormatting sqref="M50:N51 M52 M54">
    <cfRule type="cellIs" priority="59" operator="equal" dxfId="14" stopIfTrue="1">
      <formula>0</formula>
    </cfRule>
  </conditionalFormatting>
  <conditionalFormatting sqref="M56:N57 M58">
    <cfRule type="cellIs" priority="55" operator="equal" dxfId="13" stopIfTrue="1">
      <formula>0</formula>
    </cfRule>
  </conditionalFormatting>
  <conditionalFormatting sqref="N14:N43">
    <cfRule type="cellIs" priority="66" operator="equal" dxfId="10" stopIfTrue="1">
      <formula>0</formula>
    </cfRule>
  </conditionalFormatting>
  <conditionalFormatting sqref="N14:N44">
    <cfRule type="cellIs" priority="70" operator="equal" dxfId="4" stopIfTrue="1">
      <formula>0</formula>
    </cfRule>
  </conditionalFormatting>
  <pageMargins left="0.1181102362204725" right="0.1181102362204725" top="0.5905511811023623" bottom="0.7874015748031497" header="0.3149606299212598" footer="0.3149606299212598"/>
  <pageSetup orientation="portrait" paperSize="9" scale="80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62"/>
  <sheetViews>
    <sheetView topLeftCell="A4" workbookViewId="0">
      <selection activeCell="I16" sqref="I16"/>
    </sheetView>
  </sheetViews>
  <sheetFormatPr baseColWidth="8" defaultRowHeight="15"/>
  <cols>
    <col width="3.7109375" customWidth="1" min="4" max="4"/>
    <col width="11.28515625" customWidth="1" min="16" max="16"/>
    <col width="12.140625" customWidth="1" min="19" max="19"/>
    <col hidden="1" width="12.140625" customWidth="1" min="20" max="20"/>
    <col width="12.140625" customWidth="1" min="21" max="21"/>
  </cols>
  <sheetData>
    <row r="1">
      <c r="A1" s="52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4" t="n"/>
    </row>
    <row r="2" ht="15.75" customHeight="1">
      <c r="A2" s="286" t="inlineStr">
        <is>
          <t>GOVERNO DO ESTADO DO ESPÍRITO SANTO</t>
        </is>
      </c>
      <c r="N2" s="287" t="n"/>
    </row>
    <row r="3" ht="19.5" customHeight="1">
      <c r="A3" s="286" t="inlineStr">
        <is>
          <t>SUPERINTENDÊNCIA REGIONAL DE EDUCAÇÃO DE CARAPINA</t>
        </is>
      </c>
      <c r="N3" s="287" t="n"/>
    </row>
    <row r="4" ht="25.5" customHeight="1">
      <c r="A4" s="288" t="inlineStr">
        <is>
          <t>CARTÃO DE PONTO</t>
        </is>
      </c>
      <c r="N4" s="287" t="n"/>
      <c r="Q4" s="289" t="n">
        <v>0</v>
      </c>
      <c r="R4" t="inlineStr">
        <is>
          <t>saldo anterior</t>
        </is>
      </c>
    </row>
    <row r="5" ht="6.75" customHeight="1" thickBot="1">
      <c r="A5" s="290" t="n"/>
      <c r="N5" s="287" t="n"/>
    </row>
    <row r="6" ht="15.75" customHeight="1">
      <c r="A6" s="186" t="inlineStr">
        <is>
          <t xml:space="preserve">NOME: </t>
        </is>
      </c>
      <c r="B6" s="291" t="n"/>
      <c r="C6" s="188" t="n"/>
      <c r="D6" s="292" t="n"/>
      <c r="E6" s="292" t="n"/>
      <c r="F6" s="292" t="n"/>
      <c r="G6" s="292" t="n"/>
      <c r="H6" s="292" t="n"/>
      <c r="I6" s="293" t="n"/>
      <c r="J6" s="1" t="inlineStr">
        <is>
          <t>MÊS:</t>
        </is>
      </c>
      <c r="K6" s="294" t="n">
        <v>43738</v>
      </c>
      <c r="L6" s="292" t="n"/>
      <c r="M6" s="292" t="n"/>
      <c r="N6" s="293" t="n"/>
    </row>
    <row r="7">
      <c r="A7" s="295" t="inlineStr">
        <is>
          <t>CARGO:</t>
        </is>
      </c>
      <c r="B7" s="296" t="n"/>
      <c r="C7" s="203">
        <f>JAN!C7:I7</f>
        <v/>
      </c>
      <c r="D7" s="297" t="n"/>
      <c r="E7" s="297" t="n"/>
      <c r="F7" s="297" t="n"/>
      <c r="G7" s="297" t="n"/>
      <c r="H7" s="297" t="n"/>
      <c r="I7" s="298" t="n"/>
      <c r="J7" s="299" t="inlineStr">
        <is>
          <t>CH DIÁRIA:</t>
        </is>
      </c>
      <c r="K7" s="296" t="n"/>
      <c r="L7" s="300">
        <f>JAN!L7</f>
        <v/>
      </c>
      <c r="M7" s="301">
        <f>JAN!M7</f>
        <v/>
      </c>
      <c r="N7" s="302">
        <f>JAN!N7</f>
        <v/>
      </c>
    </row>
    <row r="8" ht="16.5" customHeight="1">
      <c r="A8" s="295" t="inlineStr">
        <is>
          <t>FUNÇÃO:</t>
        </is>
      </c>
      <c r="B8" s="296" t="n"/>
      <c r="C8" s="303">
        <f>JAN!C8:I8</f>
        <v/>
      </c>
      <c r="D8" s="297" t="n"/>
      <c r="E8" s="297" t="n"/>
      <c r="F8" s="297" t="n"/>
      <c r="G8" s="297" t="n"/>
      <c r="H8" s="297" t="n"/>
      <c r="I8" s="298" t="n"/>
      <c r="J8" s="4" t="inlineStr">
        <is>
          <t>DIAS ÚTEIS:</t>
        </is>
      </c>
      <c r="K8" s="5" t="n"/>
      <c r="L8" s="304">
        <f>COUNTIF(A14:A43,"U")</f>
        <v/>
      </c>
      <c r="M8" s="305" t="n"/>
      <c r="N8" s="306" t="n"/>
    </row>
    <row r="9" ht="16.5" customHeight="1">
      <c r="A9" s="2" t="inlineStr">
        <is>
          <t>EMPRESA:</t>
        </is>
      </c>
      <c r="B9" s="3" t="n"/>
      <c r="C9" s="129">
        <f>JAN!C9:I9</f>
        <v/>
      </c>
      <c r="D9" s="297" t="n"/>
      <c r="E9" s="297" t="n"/>
      <c r="F9" s="297" t="n"/>
      <c r="G9" s="297" t="n"/>
      <c r="H9" s="297" t="n"/>
      <c r="I9" s="298" t="n"/>
      <c r="J9" s="4" t="inlineStr">
        <is>
          <t>CNPJ:</t>
        </is>
      </c>
      <c r="K9" s="307">
        <f>JAN!K9:L9</f>
        <v/>
      </c>
      <c r="L9" s="296" t="n"/>
      <c r="M9" s="38" t="inlineStr">
        <is>
          <t>EXERCÍCIO:</t>
        </is>
      </c>
      <c r="N9" s="42" t="n">
        <v>2021</v>
      </c>
      <c r="P9" t="inlineStr">
        <is>
          <t>U: DIA ÚTIL</t>
        </is>
      </c>
    </row>
    <row r="10" ht="16.5" customHeight="1">
      <c r="A10" s="2" t="inlineStr">
        <is>
          <t>LOCALIZAÇÃO:</t>
        </is>
      </c>
      <c r="B10" s="3" t="n"/>
      <c r="C10" s="203">
        <f>JAN!C10:I10</f>
        <v/>
      </c>
      <c r="D10" s="297" t="n"/>
      <c r="E10" s="297" t="n"/>
      <c r="F10" s="297" t="n"/>
      <c r="G10" s="297" t="n"/>
      <c r="H10" s="297" t="n"/>
      <c r="I10" s="298" t="n"/>
      <c r="J10" s="395" t="inlineStr">
        <is>
          <t>NÚMERO FUNCIONAL:</t>
        </is>
      </c>
      <c r="K10" s="296" t="n"/>
      <c r="L10" s="43">
        <f>JAN!L10</f>
        <v/>
      </c>
      <c r="M10" s="37" t="inlineStr">
        <is>
          <t>VÍNCULO:</t>
        </is>
      </c>
      <c r="N10" s="44">
        <f>JAN!N10</f>
        <v/>
      </c>
      <c r="P10" t="inlineStr">
        <is>
          <t>F: SÁBADOS; DOMINGOS E FERIADOS</t>
        </is>
      </c>
    </row>
    <row r="11" ht="16.5" customHeight="1" thickBot="1">
      <c r="A11" s="309" t="inlineStr">
        <is>
          <t>REGIME JURÍDICO:</t>
        </is>
      </c>
      <c r="B11" s="310" t="n"/>
      <c r="C11" s="311">
        <f>JAN!C11:E11</f>
        <v/>
      </c>
      <c r="D11" s="312" t="n"/>
      <c r="E11" s="313" t="n"/>
      <c r="F11" s="314" t="inlineStr">
        <is>
          <t>ÓRGÃO DE EXERCÍCIO:</t>
        </is>
      </c>
      <c r="G11" s="315" t="n"/>
      <c r="H11" s="310" t="n"/>
      <c r="I11" s="316" t="inlineStr">
        <is>
          <t>Secretaria de Estado da Educação</t>
        </is>
      </c>
      <c r="J11" s="312" t="n"/>
      <c r="K11" s="312" t="n"/>
      <c r="L11" s="312" t="n"/>
      <c r="M11" s="312" t="n"/>
      <c r="N11" s="317" t="n"/>
    </row>
    <row r="12" ht="39" customHeight="1" thickBot="1">
      <c r="A12" s="168" t="inlineStr">
        <is>
          <t>DIAS DA SEMANA</t>
        </is>
      </c>
      <c r="E12" s="287" t="n"/>
      <c r="F12" s="170" t="inlineStr">
        <is>
          <t>1º TURNO</t>
        </is>
      </c>
      <c r="G12" s="318" t="n"/>
      <c r="H12" s="170" t="inlineStr">
        <is>
          <t>2º TURNO</t>
        </is>
      </c>
      <c r="I12" s="318" t="n"/>
      <c r="J12" s="170" t="inlineStr">
        <is>
          <t>3º TURNO</t>
        </is>
      </c>
      <c r="K12" s="318" t="n"/>
      <c r="L12" s="6" t="inlineStr">
        <is>
          <t xml:space="preserve">HORAS TRABALHADAS </t>
        </is>
      </c>
      <c r="M12" s="6" t="inlineStr">
        <is>
          <t>CH PADRÃO</t>
        </is>
      </c>
      <c r="N12" s="6" t="inlineStr">
        <is>
          <t xml:space="preserve">SALDO </t>
        </is>
      </c>
      <c r="O12" s="47" t="n"/>
      <c r="P12" s="173" t="inlineStr">
        <is>
          <t>saldo acumulado até hoje</t>
        </is>
      </c>
      <c r="Q12" s="47" t="n"/>
      <c r="R12" s="319">
        <f>SUM(U14:U44)+SUM(FEV!U44)+SUM(MAR!U14:U44)+SUM(ABR!U14:U44)+SUM(MAIO!U14:U44)+SUM(JUN!U14:U44)+SUM(JUL!U14:U44)+SUM(AGO!U14:U44)+SUM(SET!U14:U44)+SUM(OUT!U14:U44)+SUM(NOV!U14:U44)+SUM(DEZ!U14:U44)</f>
        <v/>
      </c>
      <c r="S12" s="320" t="n"/>
      <c r="U12" s="66">
        <f>TODAY()</f>
        <v/>
      </c>
    </row>
    <row r="13" ht="26.25" customHeight="1" thickBot="1">
      <c r="A13" s="321" t="n"/>
      <c r="B13" s="322" t="n"/>
      <c r="C13" s="322" t="n"/>
      <c r="D13" s="322" t="n"/>
      <c r="E13" s="318" t="n"/>
      <c r="F13" s="7" t="inlineStr">
        <is>
          <t>ENTRADA MANHÃ</t>
        </is>
      </c>
      <c r="G13" s="7" t="inlineStr">
        <is>
          <t>SAÍDA MANHÃ</t>
        </is>
      </c>
      <c r="H13" s="7" t="inlineStr">
        <is>
          <t>ENTRADA TARDE</t>
        </is>
      </c>
      <c r="I13" s="7" t="inlineStr">
        <is>
          <t>SAÍDA DA TARDE</t>
        </is>
      </c>
      <c r="J13" s="7" t="inlineStr">
        <is>
          <t>ENTRADA EXTRA</t>
        </is>
      </c>
      <c r="K13" s="7" t="inlineStr">
        <is>
          <t>SAÍDA EXTRA</t>
        </is>
      </c>
      <c r="L13" s="8" t="inlineStr">
        <is>
          <t>POR DIA</t>
        </is>
      </c>
      <c r="M13" s="8" t="inlineStr">
        <is>
          <t>DIÁRIA</t>
        </is>
      </c>
      <c r="N13" s="8" t="inlineStr">
        <is>
          <t>DIÁRIO</t>
        </is>
      </c>
      <c r="O13" s="47" t="n"/>
    </row>
    <row r="14" ht="16.5" customHeight="1" thickBot="1">
      <c r="A14" s="17">
        <f>IF(OR(C14=2,C14=8),"F","U")</f>
        <v/>
      </c>
      <c r="B14" s="45">
        <f>K6</f>
        <v/>
      </c>
      <c r="C14" s="390">
        <f>WEEKDAY(B14)+1</f>
        <v/>
      </c>
      <c r="D14" s="351" t="n"/>
      <c r="E14" s="291" t="n"/>
      <c r="F14" s="397" t="n">
        <v>0</v>
      </c>
      <c r="G14" s="397" t="n">
        <v>0</v>
      </c>
      <c r="H14" s="397" t="n">
        <v>0</v>
      </c>
      <c r="I14" s="397" t="n">
        <v>0</v>
      </c>
      <c r="J14" s="374" t="n"/>
      <c r="K14" s="328" t="n"/>
      <c r="L14" s="329">
        <f>IF(A14="U",(G14-F14)+(I14-H14)+(K14-J14),"NÃO ÚTIL")</f>
        <v/>
      </c>
      <c r="M14" s="330">
        <f>IF(A14="U",L7,"NÃO ÚTIL")</f>
        <v/>
      </c>
      <c r="N14" s="331">
        <f>IF(A14="U",(L14-M14),"NÃO ÚTIL")</f>
        <v/>
      </c>
      <c r="O14" s="47" t="n"/>
      <c r="P14" s="332">
        <f>IF(N14="não útil",0,N14)</f>
        <v/>
      </c>
      <c r="Q14" s="332">
        <f>P14</f>
        <v/>
      </c>
      <c r="R14" s="332">
        <f>Q14+$Q$4</f>
        <v/>
      </c>
      <c r="S14" s="47">
        <f>IF(B14=T14,"HOJE",".")</f>
        <v/>
      </c>
      <c r="T14" s="62">
        <f>TODAY()</f>
        <v/>
      </c>
      <c r="U14" s="332">
        <f>IF(S14="HOJE",R14,0)</f>
        <v/>
      </c>
      <c r="V14" s="47" t="n"/>
    </row>
    <row r="15" ht="16.5" customHeight="1" thickBot="1">
      <c r="A15" s="17">
        <f>IF(OR(C15=2,C15=8),"F","U")</f>
        <v/>
      </c>
      <c r="B15" s="46">
        <f>B14+1</f>
        <v/>
      </c>
      <c r="C15" s="393">
        <f>WEEKDAY(B15)+1</f>
        <v/>
      </c>
      <c r="D15" s="305" t="n"/>
      <c r="E15" s="296" t="n"/>
      <c r="F15" s="397" t="n">
        <v>0</v>
      </c>
      <c r="G15" s="397" t="n">
        <v>0</v>
      </c>
      <c r="H15" s="397" t="n">
        <v>0</v>
      </c>
      <c r="I15" s="397" t="n">
        <v>0</v>
      </c>
      <c r="J15" s="376" t="n"/>
      <c r="K15" s="336" t="n"/>
      <c r="L15" s="329">
        <f>IF(A15="U",(G15-F15)+(I15-H15)+(K15-J15),"NÃO ÚTIL")</f>
        <v/>
      </c>
      <c r="M15" s="330">
        <f>IF(A15="U",L7,"NÃO ÚTIL")</f>
        <v/>
      </c>
      <c r="N15" s="331">
        <f>IF(A15="U",(L15-M15),"NÃO ÚTIL")</f>
        <v/>
      </c>
      <c r="O15" s="337" t="n"/>
      <c r="P15" s="332">
        <f>IF(N15="não útil",0,N15)</f>
        <v/>
      </c>
      <c r="Q15" s="337">
        <f>P15+Q14</f>
        <v/>
      </c>
      <c r="R15" s="332">
        <f>Q15+$Q$4</f>
        <v/>
      </c>
      <c r="S15" s="47">
        <f>IF(B15=T15,"HOJE",".")</f>
        <v/>
      </c>
      <c r="T15" s="62">
        <f>TODAY()</f>
        <v/>
      </c>
      <c r="U15" s="332">
        <f>IF(S15="HOJE",R15,0)</f>
        <v/>
      </c>
      <c r="V15" s="47" t="n"/>
    </row>
    <row r="16" ht="16.5" customHeight="1" thickBot="1">
      <c r="A16" s="17">
        <f>IF(OR(C16=2,C16=8),"F","U")</f>
        <v/>
      </c>
      <c r="B16" s="46">
        <f>B15+1</f>
        <v/>
      </c>
      <c r="C16" s="393">
        <f>WEEKDAY(B16)+1</f>
        <v/>
      </c>
      <c r="D16" s="305" t="n"/>
      <c r="E16" s="296" t="n"/>
      <c r="F16" s="397" t="n">
        <v>0</v>
      </c>
      <c r="G16" s="397" t="n">
        <v>0</v>
      </c>
      <c r="H16" s="397" t="n">
        <v>0</v>
      </c>
      <c r="I16" s="397" t="n">
        <v>0</v>
      </c>
      <c r="J16" s="377" t="n"/>
      <c r="K16" s="339" t="n"/>
      <c r="L16" s="329">
        <f>IF(A16="U",(G16-F16)+(I16-H16)+(K16-J16),"NÃO ÚTIL")</f>
        <v/>
      </c>
      <c r="M16" s="330">
        <f>IF(A16="U",L7,"NÃO ÚTIL")</f>
        <v/>
      </c>
      <c r="N16" s="331">
        <f>IF(A16="U",(L16-M16),"NÃO ÚTIL")</f>
        <v/>
      </c>
      <c r="O16" s="337" t="n"/>
      <c r="P16" s="332">
        <f>IF(N16="não útil",0,N16)</f>
        <v/>
      </c>
      <c r="Q16" s="337">
        <f>P16+Q15</f>
        <v/>
      </c>
      <c r="R16" s="332">
        <f>Q16+$Q$4</f>
        <v/>
      </c>
      <c r="S16" s="47">
        <f>IF(B16=T16,"HOJE",".")</f>
        <v/>
      </c>
      <c r="T16" s="62">
        <f>TODAY()</f>
        <v/>
      </c>
      <c r="U16" s="332">
        <f>IF(S16="HOJE",R16,0)</f>
        <v/>
      </c>
      <c r="V16" s="47" t="n"/>
    </row>
    <row r="17" ht="16.5" customHeight="1" thickBot="1">
      <c r="A17" s="17">
        <f>IF(OR(C17=2,C17=8),"F","U")</f>
        <v/>
      </c>
      <c r="B17" s="46">
        <f>B16+1</f>
        <v/>
      </c>
      <c r="C17" s="393">
        <f>WEEKDAY(B17)+1</f>
        <v/>
      </c>
      <c r="D17" s="305" t="n"/>
      <c r="E17" s="296" t="n"/>
      <c r="F17" s="397" t="n">
        <v>0</v>
      </c>
      <c r="G17" s="397" t="n">
        <v>0</v>
      </c>
      <c r="H17" s="397" t="n">
        <v>0</v>
      </c>
      <c r="I17" s="397" t="n">
        <v>0</v>
      </c>
      <c r="J17" s="378" t="n"/>
      <c r="K17" s="341" t="n"/>
      <c r="L17" s="329">
        <f>IF(A17="U",(G17-F17)+(I17-H17)+(K17-J17),"NÃO ÚTIL")</f>
        <v/>
      </c>
      <c r="M17" s="330">
        <f>IF(A17="U",L7,"NÃO ÚTIL")</f>
        <v/>
      </c>
      <c r="N17" s="331">
        <f>IF(A17="U",(L17-M17),"NÃO ÚTIL")</f>
        <v/>
      </c>
      <c r="O17" s="47" t="n"/>
      <c r="P17" s="332">
        <f>IF(N17="não útil",0,N17)</f>
        <v/>
      </c>
      <c r="Q17" s="337">
        <f>P17+Q16</f>
        <v/>
      </c>
      <c r="R17" s="332">
        <f>Q17+$Q$4</f>
        <v/>
      </c>
      <c r="S17" s="47">
        <f>IF(B17=T17,"HOJE",".")</f>
        <v/>
      </c>
      <c r="T17" s="62">
        <f>TODAY()</f>
        <v/>
      </c>
      <c r="U17" s="332">
        <f>IF(S17="HOJE",R17,0)</f>
        <v/>
      </c>
      <c r="V17" s="47" t="n"/>
    </row>
    <row r="18" ht="16.5" customHeight="1" thickBot="1">
      <c r="A18" s="17">
        <f>IF(OR(C18=2,C18=8),"F","U")</f>
        <v/>
      </c>
      <c r="B18" s="46">
        <f>B17+1</f>
        <v/>
      </c>
      <c r="C18" s="393">
        <f>WEEKDAY(B18)+1</f>
        <v/>
      </c>
      <c r="D18" s="305" t="n"/>
      <c r="E18" s="296" t="n"/>
      <c r="F18" s="397" t="n">
        <v>0</v>
      </c>
      <c r="G18" s="397" t="n">
        <v>0</v>
      </c>
      <c r="H18" s="397" t="n">
        <v>0</v>
      </c>
      <c r="I18" s="397" t="n">
        <v>0</v>
      </c>
      <c r="J18" s="377" t="n"/>
      <c r="K18" s="339" t="n"/>
      <c r="L18" s="329">
        <f>IF(A18="U",(G18-F18)+(I18-H18)+(K18-J18),"NÃO ÚTIL")</f>
        <v/>
      </c>
      <c r="M18" s="330">
        <f>IF(A18="U",L7,"NÃO ÚTIL")</f>
        <v/>
      </c>
      <c r="N18" s="331">
        <f>IF(A18="U",(L18-M18),"NÃO ÚTIL")</f>
        <v/>
      </c>
      <c r="O18" s="47" t="n"/>
      <c r="P18" s="332">
        <f>IF(N18="não útil",0,N18)</f>
        <v/>
      </c>
      <c r="Q18" s="337">
        <f>P18+Q17</f>
        <v/>
      </c>
      <c r="R18" s="332">
        <f>Q18+$Q$4</f>
        <v/>
      </c>
      <c r="S18" s="47">
        <f>IF(B18=T18,"HOJE",".")</f>
        <v/>
      </c>
      <c r="T18" s="62">
        <f>TODAY()</f>
        <v/>
      </c>
      <c r="U18" s="332">
        <f>IF(S18="HOJE",R18,0)</f>
        <v/>
      </c>
      <c r="V18" s="47" t="n"/>
    </row>
    <row r="19" ht="16.5" customHeight="1" thickBot="1">
      <c r="A19" s="17">
        <f>IF(OR(C19=2,C19=8),"F","U")</f>
        <v/>
      </c>
      <c r="B19" s="46">
        <f>B18+1</f>
        <v/>
      </c>
      <c r="C19" s="393">
        <f>WEEKDAY(B19)+1</f>
        <v/>
      </c>
      <c r="D19" s="305" t="n"/>
      <c r="E19" s="296" t="n"/>
      <c r="F19" s="397" t="n">
        <v>0</v>
      </c>
      <c r="G19" s="397" t="n">
        <v>0</v>
      </c>
      <c r="H19" s="397" t="n">
        <v>0</v>
      </c>
      <c r="I19" s="397" t="n">
        <v>0</v>
      </c>
      <c r="J19" s="376" t="n"/>
      <c r="K19" s="336" t="n"/>
      <c r="L19" s="329">
        <f>IF(A19="U",(G19-F19)+(I19-H19)+(K19-J19),"NÃO ÚTIL")</f>
        <v/>
      </c>
      <c r="M19" s="330">
        <f>IF(A19="U",L7,"NÃO ÚTIL")</f>
        <v/>
      </c>
      <c r="N19" s="331">
        <f>IF(A19="U",(L19-M19),"NÃO ÚTIL")</f>
        <v/>
      </c>
      <c r="O19" s="47" t="n"/>
      <c r="P19" s="332">
        <f>IF(N19="não útil",0,N19)</f>
        <v/>
      </c>
      <c r="Q19" s="337">
        <f>P19+Q18</f>
        <v/>
      </c>
      <c r="R19" s="332">
        <f>Q19+$Q$4</f>
        <v/>
      </c>
      <c r="S19" s="47">
        <f>IF(B19=T19,"HOJE",".")</f>
        <v/>
      </c>
      <c r="T19" s="62">
        <f>TODAY()</f>
        <v/>
      </c>
      <c r="U19" s="332">
        <f>IF(S19="HOJE",R19,0)</f>
        <v/>
      </c>
      <c r="V19" s="47" t="n"/>
    </row>
    <row r="20" ht="16.5" customHeight="1" thickBot="1">
      <c r="A20" s="17">
        <f>IF(OR(C20=2,C20=8),"F","U")</f>
        <v/>
      </c>
      <c r="B20" s="46">
        <f>B19+1</f>
        <v/>
      </c>
      <c r="C20" s="393">
        <f>WEEKDAY(B20)+1</f>
        <v/>
      </c>
      <c r="D20" s="305" t="n"/>
      <c r="E20" s="296" t="n"/>
      <c r="F20" s="397" t="n">
        <v>0</v>
      </c>
      <c r="G20" s="397" t="n">
        <v>0</v>
      </c>
      <c r="H20" s="397" t="n">
        <v>0</v>
      </c>
      <c r="I20" s="397" t="n">
        <v>0</v>
      </c>
      <c r="J20" s="376" t="n"/>
      <c r="K20" s="336" t="n"/>
      <c r="L20" s="329">
        <f>IF(A20="U",(G20-F20)+(I20-H20)+(K20-J20),"NÃO ÚTIL")</f>
        <v/>
      </c>
      <c r="M20" s="330">
        <f>IF(A20="U",L7,"NÃO ÚTIL")</f>
        <v/>
      </c>
      <c r="N20" s="331">
        <f>IF(A20="U",(L20-M20),"NÃO ÚTIL")</f>
        <v/>
      </c>
      <c r="O20" s="47" t="n"/>
      <c r="P20" s="332">
        <f>IF(N20="não útil",0,N20)</f>
        <v/>
      </c>
      <c r="Q20" s="337">
        <f>P20+Q19</f>
        <v/>
      </c>
      <c r="R20" s="332">
        <f>Q20+$Q$4</f>
        <v/>
      </c>
      <c r="S20" s="47">
        <f>IF(B20=T20,"HOJE",".")</f>
        <v/>
      </c>
      <c r="T20" s="62">
        <f>TODAY()</f>
        <v/>
      </c>
      <c r="U20" s="332">
        <f>IF(S20="HOJE",R20,0)</f>
        <v/>
      </c>
      <c r="V20" s="47" t="n"/>
    </row>
    <row r="21" ht="16.5" customHeight="1" thickBot="1">
      <c r="A21" s="17">
        <f>IF(OR(C21=2,C21=8),"F","U")</f>
        <v/>
      </c>
      <c r="B21" s="46">
        <f>B20+1</f>
        <v/>
      </c>
      <c r="C21" s="393">
        <f>WEEKDAY(B21)+1</f>
        <v/>
      </c>
      <c r="D21" s="305" t="n"/>
      <c r="E21" s="296" t="n"/>
      <c r="F21" s="397" t="n">
        <v>0</v>
      </c>
      <c r="G21" s="397" t="n">
        <v>0</v>
      </c>
      <c r="H21" s="397" t="n">
        <v>0</v>
      </c>
      <c r="I21" s="397" t="n">
        <v>0</v>
      </c>
      <c r="J21" s="378" t="n"/>
      <c r="K21" s="341" t="n"/>
      <c r="L21" s="329">
        <f>IF(A21="U",(G21-F21)+(I21-H21)+(K21-J21),"NÃO ÚTIL")</f>
        <v/>
      </c>
      <c r="M21" s="330">
        <f>IF(A21="U",L7,"NÃO ÚTIL")</f>
        <v/>
      </c>
      <c r="N21" s="331">
        <f>IF(A21="U",(L21-M21),"NÃO ÚTIL")</f>
        <v/>
      </c>
      <c r="O21" s="47" t="n"/>
      <c r="P21" s="332">
        <f>IF(N21="não útil",0,N21)</f>
        <v/>
      </c>
      <c r="Q21" s="337">
        <f>P21+Q20</f>
        <v/>
      </c>
      <c r="R21" s="332">
        <f>Q21+$Q$4</f>
        <v/>
      </c>
      <c r="S21" s="47">
        <f>IF(B21=T21,"HOJE",".")</f>
        <v/>
      </c>
      <c r="T21" s="62">
        <f>TODAY()</f>
        <v/>
      </c>
      <c r="U21" s="332">
        <f>IF(S21="HOJE",R21,0)</f>
        <v/>
      </c>
      <c r="V21" s="47" t="n"/>
    </row>
    <row r="22" ht="16.5" customHeight="1" thickBot="1">
      <c r="A22" s="17">
        <f>IF(OR(C22=2,C22=8),"F","U")</f>
        <v/>
      </c>
      <c r="B22" s="46">
        <f>B21+1</f>
        <v/>
      </c>
      <c r="C22" s="393">
        <f>WEEKDAY(B22)+1</f>
        <v/>
      </c>
      <c r="D22" s="305" t="n"/>
      <c r="E22" s="296" t="n"/>
      <c r="F22" s="397" t="n">
        <v>0</v>
      </c>
      <c r="G22" s="397" t="n">
        <v>0</v>
      </c>
      <c r="H22" s="397" t="n">
        <v>0</v>
      </c>
      <c r="I22" s="397" t="n">
        <v>0</v>
      </c>
      <c r="J22" s="377" t="n"/>
      <c r="K22" s="339" t="n"/>
      <c r="L22" s="329">
        <f>IF(A22="U",(G22-F22)+(I22-H22)+(K22-J22),"NÃO ÚTIL")</f>
        <v/>
      </c>
      <c r="M22" s="330">
        <f>IF(A22="U",L7,"NÃO ÚTIL")</f>
        <v/>
      </c>
      <c r="N22" s="331">
        <f>IF(A22="U",(L22-M22),"NÃO ÚTIL")</f>
        <v/>
      </c>
      <c r="O22" s="47" t="n"/>
      <c r="P22" s="332">
        <f>IF(N22="não útil",0,N22)</f>
        <v/>
      </c>
      <c r="Q22" s="337">
        <f>P22+Q21</f>
        <v/>
      </c>
      <c r="R22" s="332">
        <f>Q22+$Q$4</f>
        <v/>
      </c>
      <c r="S22" s="47">
        <f>IF(B22=T22,"HOJE",".")</f>
        <v/>
      </c>
      <c r="T22" s="62">
        <f>TODAY()</f>
        <v/>
      </c>
      <c r="U22" s="332">
        <f>IF(S22="HOJE",R22,0)</f>
        <v/>
      </c>
      <c r="V22" s="47" t="n"/>
    </row>
    <row r="23" ht="16.5" customHeight="1" thickBot="1">
      <c r="A23" s="17">
        <f>IF(OR(C23=2,C23=8),"F","U")</f>
        <v/>
      </c>
      <c r="B23" s="46">
        <f>B22+1</f>
        <v/>
      </c>
      <c r="C23" s="393">
        <f>WEEKDAY(B23)+1</f>
        <v/>
      </c>
      <c r="D23" s="305" t="n"/>
      <c r="E23" s="296" t="n"/>
      <c r="F23" s="397" t="n">
        <v>0</v>
      </c>
      <c r="G23" s="397" t="n">
        <v>0</v>
      </c>
      <c r="H23" s="397" t="n">
        <v>0</v>
      </c>
      <c r="I23" s="397" t="n">
        <v>0</v>
      </c>
      <c r="J23" s="377" t="n"/>
      <c r="K23" s="339" t="n"/>
      <c r="L23" s="329">
        <f>IF(A23="U",(G23-F23)+(I23-H23)+(K23-J23),"NÃO ÚTIL")</f>
        <v/>
      </c>
      <c r="M23" s="330">
        <f>IF(A23="U",L7,"NÃO ÚTIL")</f>
        <v/>
      </c>
      <c r="N23" s="331">
        <f>IF(A23="U",(L23-M23),"NÃO ÚTIL")</f>
        <v/>
      </c>
      <c r="O23" s="47" t="n"/>
      <c r="P23" s="332">
        <f>IF(N23="não útil",0,N23)</f>
        <v/>
      </c>
      <c r="Q23" s="337">
        <f>P23+Q22</f>
        <v/>
      </c>
      <c r="R23" s="332">
        <f>Q23+$Q$4</f>
        <v/>
      </c>
      <c r="S23" s="47">
        <f>IF(B23=T23,"HOJE",".")</f>
        <v/>
      </c>
      <c r="T23" s="62">
        <f>TODAY()</f>
        <v/>
      </c>
      <c r="U23" s="332">
        <f>IF(S23="HOJE",R23,0)</f>
        <v/>
      </c>
      <c r="V23" s="47" t="n"/>
    </row>
    <row r="24" ht="16.5" customHeight="1" thickBot="1">
      <c r="A24" s="17">
        <f>IF(OR(C24=2,C24=8),"F","U")</f>
        <v/>
      </c>
      <c r="B24" s="46">
        <f>B23+1</f>
        <v/>
      </c>
      <c r="C24" s="393">
        <f>WEEKDAY(B24)+1</f>
        <v/>
      </c>
      <c r="D24" s="305" t="n"/>
      <c r="E24" s="296" t="n"/>
      <c r="F24" s="397" t="n">
        <v>0</v>
      </c>
      <c r="G24" s="397" t="n">
        <v>0</v>
      </c>
      <c r="H24" s="397" t="n">
        <v>0</v>
      </c>
      <c r="I24" s="397" t="n">
        <v>0</v>
      </c>
      <c r="J24" s="377" t="n"/>
      <c r="K24" s="339" t="n"/>
      <c r="L24" s="329">
        <f>IF(A24="U",(G24-F24)+(I24-H24)+(K24-J24),"NÃO ÚTIL")</f>
        <v/>
      </c>
      <c r="M24" s="330">
        <f>IF(A24="U",L7,"NÃO ÚTIL")</f>
        <v/>
      </c>
      <c r="N24" s="331">
        <f>IF(A24="U",(L24-M24),"NÃO ÚTIL")</f>
        <v/>
      </c>
      <c r="O24" s="47" t="n"/>
      <c r="P24" s="332">
        <f>IF(N24="não útil",0,N24)</f>
        <v/>
      </c>
      <c r="Q24" s="337">
        <f>P24+Q23</f>
        <v/>
      </c>
      <c r="R24" s="332">
        <f>Q24+$Q$4</f>
        <v/>
      </c>
      <c r="S24" s="47">
        <f>IF(B24=T24,"HOJE",".")</f>
        <v/>
      </c>
      <c r="T24" s="62">
        <f>TODAY()</f>
        <v/>
      </c>
      <c r="U24" s="332">
        <f>IF(S24="HOJE",R24,0)</f>
        <v/>
      </c>
      <c r="V24" s="47" t="n"/>
    </row>
    <row r="25" ht="16.5" customHeight="1" thickBot="1">
      <c r="A25" s="17" t="inlineStr">
        <is>
          <t>F</t>
        </is>
      </c>
      <c r="B25" s="46">
        <f>B24+1</f>
        <v/>
      </c>
      <c r="C25" s="400">
        <f>WEEKDAY(B25)+1</f>
        <v/>
      </c>
      <c r="D25" s="305" t="n"/>
      <c r="E25" s="296" t="n"/>
      <c r="F25" s="397" t="n">
        <v>0</v>
      </c>
      <c r="G25" s="397" t="n">
        <v>0</v>
      </c>
      <c r="H25" s="397" t="n">
        <v>0</v>
      </c>
      <c r="I25" s="397" t="n">
        <v>0</v>
      </c>
      <c r="J25" s="376" t="n"/>
      <c r="K25" s="336" t="n"/>
      <c r="L25" s="329">
        <f>IF(A25="U",(G25-F25)+(I25-H25)+(K25-J25),"NÃO ÚTIL")</f>
        <v/>
      </c>
      <c r="M25" s="330">
        <f>IF(A25="U",L7,"NÃO ÚTIL")</f>
        <v/>
      </c>
      <c r="N25" s="331">
        <f>IF(A25="U",(L25-M25),"NÃO ÚTIL")</f>
        <v/>
      </c>
      <c r="O25" s="47" t="n"/>
      <c r="P25" s="332">
        <f>IF(N25="não útil",0,N25)</f>
        <v/>
      </c>
      <c r="Q25" s="337">
        <f>P25+Q24</f>
        <v/>
      </c>
      <c r="R25" s="332">
        <f>Q25+$Q$4</f>
        <v/>
      </c>
      <c r="S25" s="47">
        <f>IF(B25=T25,"HOJE",".")</f>
        <v/>
      </c>
      <c r="T25" s="62">
        <f>TODAY()</f>
        <v/>
      </c>
      <c r="U25" s="332">
        <f>IF(S25="HOJE",R25,0)</f>
        <v/>
      </c>
      <c r="V25" s="47" t="n"/>
    </row>
    <row r="26" ht="16.5" customHeight="1" thickBot="1">
      <c r="A26" s="17">
        <f>IF(OR(C26=2,C26=8),"F","U")</f>
        <v/>
      </c>
      <c r="B26" s="46">
        <f>B25+1</f>
        <v/>
      </c>
      <c r="C26" s="393">
        <f>WEEKDAY(B26)+1</f>
        <v/>
      </c>
      <c r="D26" s="305" t="n"/>
      <c r="E26" s="296" t="n"/>
      <c r="F26" s="397" t="n">
        <v>0</v>
      </c>
      <c r="G26" s="397" t="n">
        <v>0</v>
      </c>
      <c r="H26" s="397" t="n">
        <v>0</v>
      </c>
      <c r="I26" s="397" t="n">
        <v>0</v>
      </c>
      <c r="J26" s="340" t="n"/>
      <c r="K26" s="341" t="n"/>
      <c r="L26" s="329">
        <f>IF(A26="U",(G26-F26)+(I26-H26)+(K26-J26),"NÃO ÚTIL")</f>
        <v/>
      </c>
      <c r="M26" s="407" t="n">
        <v>0</v>
      </c>
      <c r="N26" s="331">
        <f>IF(A26="U",(L26-M26),"NÃO ÚTIL")</f>
        <v/>
      </c>
      <c r="O26" s="47" t="n"/>
      <c r="P26" s="332">
        <f>IF(N26="não útil",0,N26)</f>
        <v/>
      </c>
      <c r="Q26" s="337">
        <f>P26+Q25</f>
        <v/>
      </c>
      <c r="R26" s="332">
        <f>Q26+$Q$4</f>
        <v/>
      </c>
      <c r="S26" s="47">
        <f>IF(B26=T26,"HOJE",".")</f>
        <v/>
      </c>
      <c r="T26" s="62">
        <f>TODAY()</f>
        <v/>
      </c>
      <c r="U26" s="332">
        <f>IF(S26="HOJE",R26,0)</f>
        <v/>
      </c>
      <c r="V26" s="47" t="n"/>
    </row>
    <row r="27" ht="16.5" customHeight="1" thickBot="1">
      <c r="A27" s="17">
        <f>IF(OR(C27=2,C27=8),"F","U")</f>
        <v/>
      </c>
      <c r="B27" s="46">
        <f>B26+1</f>
        <v/>
      </c>
      <c r="C27" s="393">
        <f>WEEKDAY(B27)+1</f>
        <v/>
      </c>
      <c r="D27" s="305" t="n"/>
      <c r="E27" s="296" t="n"/>
      <c r="F27" s="397" t="n">
        <v>0</v>
      </c>
      <c r="G27" s="397" t="n">
        <v>0</v>
      </c>
      <c r="H27" s="397" t="n">
        <v>0</v>
      </c>
      <c r="I27" s="397" t="n">
        <v>0</v>
      </c>
      <c r="J27" s="377" t="n"/>
      <c r="K27" s="339" t="n"/>
      <c r="L27" s="329">
        <f>IF(A27="U",(G27-F27)+(I27-H27)+(K27-J27),"NÃO ÚTIL")</f>
        <v/>
      </c>
      <c r="M27" s="330">
        <f>IF(A27="U",L7,"NÃO ÚTIL")</f>
        <v/>
      </c>
      <c r="N27" s="331">
        <f>IF(A27="U",(L27-M27),"NÃO ÚTIL")</f>
        <v/>
      </c>
      <c r="O27" s="47" t="n"/>
      <c r="P27" s="332">
        <f>IF(N27="não útil",0,N27)</f>
        <v/>
      </c>
      <c r="Q27" s="337">
        <f>P27+Q26</f>
        <v/>
      </c>
      <c r="R27" s="332">
        <f>Q27+$Q$4</f>
        <v/>
      </c>
      <c r="S27" s="47">
        <f>IF(B27=T27,"HOJE",".")</f>
        <v/>
      </c>
      <c r="T27" s="62">
        <f>TODAY()</f>
        <v/>
      </c>
      <c r="U27" s="332">
        <f>IF(S27="HOJE",R27,0)</f>
        <v/>
      </c>
      <c r="V27" s="47" t="n"/>
    </row>
    <row r="28" ht="16.5" customHeight="1" thickBot="1">
      <c r="A28" s="17">
        <f>IF(OR(C28=2,C28=8),"F","U")</f>
        <v/>
      </c>
      <c r="B28" s="46">
        <f>B27+1</f>
        <v/>
      </c>
      <c r="C28" s="393">
        <f>WEEKDAY(B28)+1</f>
        <v/>
      </c>
      <c r="D28" s="305" t="n"/>
      <c r="E28" s="296" t="n"/>
      <c r="F28" s="397" t="n">
        <v>0</v>
      </c>
      <c r="G28" s="397" t="n">
        <v>0</v>
      </c>
      <c r="H28" s="397" t="n">
        <v>0</v>
      </c>
      <c r="I28" s="397" t="n">
        <v>0</v>
      </c>
      <c r="J28" s="376" t="n"/>
      <c r="K28" s="336" t="n"/>
      <c r="L28" s="329">
        <f>IF(A28="U",(G28-F28)+(I28-H28)+(K28-J28),"NÃO ÚTIL")</f>
        <v/>
      </c>
      <c r="M28" s="330">
        <f>IF(A28="U",L7,"NÃO ÚTIL")</f>
        <v/>
      </c>
      <c r="N28" s="331">
        <f>IF(A28="U",(L28-M28),"NÃO ÚTIL")</f>
        <v/>
      </c>
      <c r="O28" s="47" t="n"/>
      <c r="P28" s="332">
        <f>IF(N28="não útil",0,N28)</f>
        <v/>
      </c>
      <c r="Q28" s="337">
        <f>P28+Q27</f>
        <v/>
      </c>
      <c r="R28" s="332">
        <f>Q28+$Q$4</f>
        <v/>
      </c>
      <c r="S28" s="47">
        <f>IF(B28=T28,"HOJE",".")</f>
        <v/>
      </c>
      <c r="T28" s="62">
        <f>TODAY()</f>
        <v/>
      </c>
      <c r="U28" s="332">
        <f>IF(S28="HOJE",R28,0)</f>
        <v/>
      </c>
      <c r="V28" s="47" t="n"/>
    </row>
    <row r="29" ht="16.5" customHeight="1" thickBot="1">
      <c r="A29" s="17">
        <f>IF(OR(C29=2,C29=8),"F","U")</f>
        <v/>
      </c>
      <c r="B29" s="46">
        <f>B28+1</f>
        <v/>
      </c>
      <c r="C29" s="393">
        <f>WEEKDAY(B29)+1</f>
        <v/>
      </c>
      <c r="D29" s="305" t="n"/>
      <c r="E29" s="296" t="n"/>
      <c r="F29" s="397" t="n">
        <v>0</v>
      </c>
      <c r="G29" s="397" t="n">
        <v>0</v>
      </c>
      <c r="H29" s="397" t="n">
        <v>0</v>
      </c>
      <c r="I29" s="397" t="n">
        <v>0</v>
      </c>
      <c r="J29" s="378" t="n"/>
      <c r="K29" s="341" t="n"/>
      <c r="L29" s="329">
        <f>IF(A29="U",(G29-F29)+(I29-H29)+(K29-J29),"NÃO ÚTIL")</f>
        <v/>
      </c>
      <c r="M29" s="330">
        <f>IF(A29="U",L7,"NÃO ÚTIL")</f>
        <v/>
      </c>
      <c r="N29" s="331">
        <f>IF(A29="U",(L29-M29),"NÃO ÚTIL")</f>
        <v/>
      </c>
      <c r="O29" s="47" t="n"/>
      <c r="P29" s="332">
        <f>IF(N29="não útil",0,N29)</f>
        <v/>
      </c>
      <c r="Q29" s="337">
        <f>P29+Q28</f>
        <v/>
      </c>
      <c r="R29" s="332">
        <f>Q29+$Q$4</f>
        <v/>
      </c>
      <c r="S29" s="47">
        <f>IF(B29=T29,"HOJE",".")</f>
        <v/>
      </c>
      <c r="T29" s="62">
        <f>TODAY()</f>
        <v/>
      </c>
      <c r="U29" s="332">
        <f>IF(S29="HOJE",R29,0)</f>
        <v/>
      </c>
      <c r="V29" s="47" t="n"/>
    </row>
    <row r="30" ht="16.5" customHeight="1" thickBot="1">
      <c r="A30" s="17">
        <f>IF(OR(C30=2,C30=8),"F","U")</f>
        <v/>
      </c>
      <c r="B30" s="46">
        <f>B29+1</f>
        <v/>
      </c>
      <c r="C30" s="393">
        <f>WEEKDAY(B30)+1</f>
        <v/>
      </c>
      <c r="D30" s="305" t="n"/>
      <c r="E30" s="296" t="n"/>
      <c r="F30" s="397" t="n">
        <v>0</v>
      </c>
      <c r="G30" s="397" t="n">
        <v>0</v>
      </c>
      <c r="H30" s="397" t="n">
        <v>0</v>
      </c>
      <c r="I30" s="397" t="n">
        <v>0</v>
      </c>
      <c r="J30" s="377" t="n"/>
      <c r="K30" s="339" t="n"/>
      <c r="L30" s="329">
        <f>IF(A30="U",(G30-F30)+(I30-H30)+(K30-J30),"NÃO ÚTIL")</f>
        <v/>
      </c>
      <c r="M30" s="330">
        <f>IF(A30="U",L7,"NÃO ÚTIL")</f>
        <v/>
      </c>
      <c r="N30" s="331">
        <f>IF(A30="U",(L30-M30),"NÃO ÚTIL")</f>
        <v/>
      </c>
      <c r="O30" s="47" t="n"/>
      <c r="P30" s="332">
        <f>IF(N30="não útil",0,N30)</f>
        <v/>
      </c>
      <c r="Q30" s="337">
        <f>P30+Q29</f>
        <v/>
      </c>
      <c r="R30" s="332">
        <f>Q30+$Q$4</f>
        <v/>
      </c>
      <c r="S30" s="47">
        <f>IF(B30=T30,"HOJE",".")</f>
        <v/>
      </c>
      <c r="T30" s="62">
        <f>TODAY()</f>
        <v/>
      </c>
      <c r="U30" s="332">
        <f>IF(S30="HOJE",R30,0)</f>
        <v/>
      </c>
      <c r="V30" s="47" t="n"/>
    </row>
    <row r="31" ht="16.5" customHeight="1" thickBot="1">
      <c r="A31" s="17">
        <f>IF(OR(C31=2,C31=8),"F","U")</f>
        <v/>
      </c>
      <c r="B31" s="46">
        <f>B30+1</f>
        <v/>
      </c>
      <c r="C31" s="393">
        <f>WEEKDAY(B31)+1</f>
        <v/>
      </c>
      <c r="D31" s="305" t="n"/>
      <c r="E31" s="296" t="n"/>
      <c r="F31" s="397" t="n">
        <v>0</v>
      </c>
      <c r="G31" s="397" t="n">
        <v>0</v>
      </c>
      <c r="H31" s="397" t="n">
        <v>0</v>
      </c>
      <c r="I31" s="397" t="n">
        <v>0</v>
      </c>
      <c r="J31" s="378" t="n"/>
      <c r="K31" s="341" t="n"/>
      <c r="L31" s="329">
        <f>IF(A31="U",(G31-F31)+(I31-H31)+(K31-J31),"NÃO ÚTIL")</f>
        <v/>
      </c>
      <c r="M31" s="330">
        <f>IF(A31="U",L7,"NÃO ÚTIL")</f>
        <v/>
      </c>
      <c r="N31" s="331">
        <f>IF(A31="U",(L31-M31),"NÃO ÚTIL")</f>
        <v/>
      </c>
      <c r="O31" s="47" t="n"/>
      <c r="P31" s="332">
        <f>IF(N31="não útil",0,N31)</f>
        <v/>
      </c>
      <c r="Q31" s="337">
        <f>P31+Q30</f>
        <v/>
      </c>
      <c r="R31" s="332">
        <f>Q31+$Q$4</f>
        <v/>
      </c>
      <c r="S31" s="47">
        <f>IF(B31=T31,"HOJE",".")</f>
        <v/>
      </c>
      <c r="T31" s="62">
        <f>TODAY()</f>
        <v/>
      </c>
      <c r="U31" s="332">
        <f>IF(S31="HOJE",R31,0)</f>
        <v/>
      </c>
      <c r="V31" s="47" t="n"/>
    </row>
    <row r="32" ht="16.5" customHeight="1" thickBot="1">
      <c r="A32" s="17">
        <f>IF(OR(C32=2,C32=8),"F","U")</f>
        <v/>
      </c>
      <c r="B32" s="46">
        <f>B31+1</f>
        <v/>
      </c>
      <c r="C32" s="393">
        <f>WEEKDAY(B32)+1</f>
        <v/>
      </c>
      <c r="D32" s="305" t="n"/>
      <c r="E32" s="296" t="n"/>
      <c r="F32" s="397" t="n">
        <v>0</v>
      </c>
      <c r="G32" s="397" t="n">
        <v>0</v>
      </c>
      <c r="H32" s="397" t="n">
        <v>0</v>
      </c>
      <c r="I32" s="397" t="n">
        <v>0</v>
      </c>
      <c r="J32" s="338" t="n"/>
      <c r="K32" s="339" t="n"/>
      <c r="L32" s="329">
        <f>IF(A32="U",(G32-F32)+(I32-H32)+(K32-J32),"NÃO ÚTIL")</f>
        <v/>
      </c>
      <c r="M32" s="330">
        <f>IF(A32="U",L7,"NÃO ÚTIL")</f>
        <v/>
      </c>
      <c r="N32" s="331">
        <f>IF(A32="U",(L32-M32),"NÃO ÚTIL")</f>
        <v/>
      </c>
      <c r="O32" s="47" t="n"/>
      <c r="P32" s="332">
        <f>IF(N32="não útil",0,N32)</f>
        <v/>
      </c>
      <c r="Q32" s="337">
        <f>P32+Q31</f>
        <v/>
      </c>
      <c r="R32" s="332">
        <f>Q32+$Q$4</f>
        <v/>
      </c>
      <c r="S32" s="47">
        <f>IF(B32=T32,"HOJE",".")</f>
        <v/>
      </c>
      <c r="T32" s="62">
        <f>TODAY()</f>
        <v/>
      </c>
      <c r="U32" s="332">
        <f>IF(S32="HOJE",R32,0)</f>
        <v/>
      </c>
      <c r="V32" s="47" t="n"/>
    </row>
    <row r="33" ht="16.5" customHeight="1" thickBot="1">
      <c r="A33" s="17">
        <f>IF(OR(C33=2,C33=8),"F","U")</f>
        <v/>
      </c>
      <c r="B33" s="46">
        <f>B32+1</f>
        <v/>
      </c>
      <c r="C33" s="393">
        <f>WEEKDAY(B33)+1</f>
        <v/>
      </c>
      <c r="D33" s="305" t="n"/>
      <c r="E33" s="296" t="n"/>
      <c r="F33" s="397" t="n">
        <v>0</v>
      </c>
      <c r="G33" s="397" t="n">
        <v>0</v>
      </c>
      <c r="H33" s="397" t="n">
        <v>0</v>
      </c>
      <c r="I33" s="397" t="n">
        <v>0</v>
      </c>
      <c r="J33" s="340" t="n"/>
      <c r="K33" s="341" t="n"/>
      <c r="L33" s="329">
        <f>IF(A33="U",(G33-F33)+(I33-H33)+(K33-J33),"NÃO ÚTIL")</f>
        <v/>
      </c>
      <c r="M33" s="330">
        <f>IF(A33="U",L7,"NÃO ÚTIL")</f>
        <v/>
      </c>
      <c r="N33" s="331">
        <f>IF(A33="U",(L33-M33),"NÃO ÚTIL")</f>
        <v/>
      </c>
      <c r="O33" s="47" t="n"/>
      <c r="P33" s="332">
        <f>IF(N33="não útil",0,N33)</f>
        <v/>
      </c>
      <c r="Q33" s="337">
        <f>P33+Q32</f>
        <v/>
      </c>
      <c r="R33" s="332">
        <f>Q33+$Q$4</f>
        <v/>
      </c>
      <c r="S33" s="47">
        <f>IF(B33=T33,"HOJE",".")</f>
        <v/>
      </c>
      <c r="T33" s="62">
        <f>TODAY()</f>
        <v/>
      </c>
      <c r="U33" s="332">
        <f>IF(S33="HOJE",R33,0)</f>
        <v/>
      </c>
      <c r="V33" s="47" t="n"/>
    </row>
    <row r="34" ht="16.5" customHeight="1" thickBot="1">
      <c r="A34" s="17">
        <f>IF(OR(C34=2,C34=8),"F","U")</f>
        <v/>
      </c>
      <c r="B34" s="46">
        <f>B33+1</f>
        <v/>
      </c>
      <c r="C34" s="393">
        <f>WEEKDAY(B34)+1</f>
        <v/>
      </c>
      <c r="D34" s="305" t="n"/>
      <c r="E34" s="296" t="n"/>
      <c r="F34" s="397" t="n">
        <v>0</v>
      </c>
      <c r="G34" s="397" t="n">
        <v>0</v>
      </c>
      <c r="H34" s="397" t="n">
        <v>0</v>
      </c>
      <c r="I34" s="397" t="n">
        <v>0</v>
      </c>
      <c r="J34" s="338" t="n"/>
      <c r="K34" s="345" t="n"/>
      <c r="L34" s="329">
        <f>IF(A34="U",(G34-F34)+(I34-H34)+(K34-J34),"NÃO ÚTIL")</f>
        <v/>
      </c>
      <c r="M34" s="330">
        <f>IF(A34="U",L7,"NÃO ÚTIL")</f>
        <v/>
      </c>
      <c r="N34" s="331">
        <f>IF(A34="U",(L34-M34),"NÃO ÚTIL")</f>
        <v/>
      </c>
      <c r="O34" s="47" t="n"/>
      <c r="P34" s="332">
        <f>IF(N34="não útil",0,N34)</f>
        <v/>
      </c>
      <c r="Q34" s="337">
        <f>P34+Q33</f>
        <v/>
      </c>
      <c r="R34" s="332">
        <f>Q34+$Q$4</f>
        <v/>
      </c>
      <c r="S34" s="47">
        <f>IF(B34=T34,"HOJE",".")</f>
        <v/>
      </c>
      <c r="T34" s="62">
        <f>TODAY()</f>
        <v/>
      </c>
      <c r="U34" s="332">
        <f>IF(S34="HOJE",R34,0)</f>
        <v/>
      </c>
      <c r="V34" s="47" t="n"/>
    </row>
    <row r="35" ht="16.5" customHeight="1" thickBot="1">
      <c r="A35" s="17">
        <f>IF(OR(C35=2,C35=8),"F","U")</f>
        <v/>
      </c>
      <c r="B35" s="46">
        <f>B34+1</f>
        <v/>
      </c>
      <c r="C35" s="393">
        <f>WEEKDAY(B35)+1</f>
        <v/>
      </c>
      <c r="D35" s="305" t="n"/>
      <c r="E35" s="296" t="n"/>
      <c r="F35" s="397" t="n">
        <v>0</v>
      </c>
      <c r="G35" s="397" t="n">
        <v>0</v>
      </c>
      <c r="H35" s="397" t="n">
        <v>0</v>
      </c>
      <c r="I35" s="397" t="n">
        <v>0</v>
      </c>
      <c r="J35" s="338" t="n"/>
      <c r="K35" s="339" t="n"/>
      <c r="L35" s="329">
        <f>IF(A35="U",(G35-F35)+(I35-H35)+(K35-J35),"NÃO ÚTIL")</f>
        <v/>
      </c>
      <c r="M35" s="330">
        <f>IF(A35="U",L7,"NÃO ÚTIL")</f>
        <v/>
      </c>
      <c r="N35" s="331">
        <f>IF(A35="U",(L35-M35),"NÃO ÚTIL")</f>
        <v/>
      </c>
      <c r="O35" s="47" t="n"/>
      <c r="P35" s="332">
        <f>IF(N35="não útil",0,N35)</f>
        <v/>
      </c>
      <c r="Q35" s="337">
        <f>P35+Q34</f>
        <v/>
      </c>
      <c r="R35" s="332">
        <f>Q35+$Q$4</f>
        <v/>
      </c>
      <c r="S35" s="47">
        <f>IF(B35=T35,"HOJE",".")</f>
        <v/>
      </c>
      <c r="T35" s="62">
        <f>TODAY()</f>
        <v/>
      </c>
      <c r="U35" s="332">
        <f>IF(S35="HOJE",R35,0)</f>
        <v/>
      </c>
      <c r="V35" s="47" t="n"/>
    </row>
    <row r="36" ht="16.5" customHeight="1" thickBot="1">
      <c r="A36" s="17">
        <f>IF(OR(C36=2,C36=8),"F","U")</f>
        <v/>
      </c>
      <c r="B36" s="46">
        <f>B35+1</f>
        <v/>
      </c>
      <c r="C36" s="393">
        <f>WEEKDAY(B36)+1</f>
        <v/>
      </c>
      <c r="D36" s="305" t="n"/>
      <c r="E36" s="296" t="n"/>
      <c r="F36" s="397" t="n">
        <v>0</v>
      </c>
      <c r="G36" s="397" t="n">
        <v>0</v>
      </c>
      <c r="H36" s="397" t="n">
        <v>0</v>
      </c>
      <c r="I36" s="397" t="n">
        <v>0</v>
      </c>
      <c r="J36" s="335" t="n"/>
      <c r="K36" s="336" t="n"/>
      <c r="L36" s="329">
        <f>IF(A36="U",(G36-F36)+(I36-H36)+(K36-J36),"NÃO ÚTIL")</f>
        <v/>
      </c>
      <c r="M36" s="330">
        <f>IF(A36="U",L7,"NÃO ÚTIL")</f>
        <v/>
      </c>
      <c r="N36" s="331">
        <f>IF(A36="U",(L36-M36),"NÃO ÚTIL")</f>
        <v/>
      </c>
      <c r="O36" s="47" t="n"/>
      <c r="P36" s="332">
        <f>IF(N36="não útil",0,N36)</f>
        <v/>
      </c>
      <c r="Q36" s="337">
        <f>P36+Q35</f>
        <v/>
      </c>
      <c r="R36" s="332">
        <f>Q36+$Q$4</f>
        <v/>
      </c>
      <c r="S36" s="47">
        <f>IF(B36=T36,"HOJE",".")</f>
        <v/>
      </c>
      <c r="T36" s="62">
        <f>TODAY()</f>
        <v/>
      </c>
      <c r="U36" s="332">
        <f>IF(S36="HOJE",R36,0)</f>
        <v/>
      </c>
      <c r="V36" s="47" t="n"/>
    </row>
    <row r="37" ht="16.5" customHeight="1" thickBot="1">
      <c r="A37" s="17">
        <f>IF(OR(C37=2,C37=8),"F","U")</f>
        <v/>
      </c>
      <c r="B37" s="46">
        <f>B36+1</f>
        <v/>
      </c>
      <c r="C37" s="393">
        <f>WEEKDAY(B37)+1</f>
        <v/>
      </c>
      <c r="D37" s="305" t="n"/>
      <c r="E37" s="296" t="n"/>
      <c r="F37" s="397" t="n">
        <v>0</v>
      </c>
      <c r="G37" s="397" t="n">
        <v>0</v>
      </c>
      <c r="H37" s="397" t="n">
        <v>0</v>
      </c>
      <c r="I37" s="397" t="n">
        <v>0</v>
      </c>
      <c r="J37" s="338" t="n"/>
      <c r="K37" s="345" t="n"/>
      <c r="L37" s="329">
        <f>IF(A37="U",(G37-F37)+(I37-H37)+(K37-J37),"NÃO ÚTIL")</f>
        <v/>
      </c>
      <c r="M37" s="330">
        <f>IF(A37="U",L7,"NÃO ÚTIL")</f>
        <v/>
      </c>
      <c r="N37" s="331">
        <f>IF(A37="U",(L37-M37),"NÃO ÚTIL")</f>
        <v/>
      </c>
      <c r="O37" s="47" t="n"/>
      <c r="P37" s="332">
        <f>IF(N37="não útil",0,N37)</f>
        <v/>
      </c>
      <c r="Q37" s="337">
        <f>P37+Q36</f>
        <v/>
      </c>
      <c r="R37" s="332">
        <f>Q37+$Q$4</f>
        <v/>
      </c>
      <c r="S37" s="47">
        <f>IF(B37=T37,"HOJE",".")</f>
        <v/>
      </c>
      <c r="T37" s="62">
        <f>TODAY()</f>
        <v/>
      </c>
      <c r="U37" s="332">
        <f>IF(S37="HOJE",R37,0)</f>
        <v/>
      </c>
      <c r="V37" s="47" t="n"/>
    </row>
    <row r="38" ht="16.5" customHeight="1" thickBot="1">
      <c r="A38" s="17">
        <f>IF(OR(C38=2,C38=8),"F","U")</f>
        <v/>
      </c>
      <c r="B38" s="46">
        <f>B37+1</f>
        <v/>
      </c>
      <c r="C38" s="393">
        <f>WEEKDAY(B38)+1</f>
        <v/>
      </c>
      <c r="D38" s="305" t="n"/>
      <c r="E38" s="296" t="n"/>
      <c r="F38" s="397" t="n">
        <v>0</v>
      </c>
      <c r="G38" s="397" t="n">
        <v>0</v>
      </c>
      <c r="H38" s="397" t="n">
        <v>0</v>
      </c>
      <c r="I38" s="397" t="n">
        <v>0</v>
      </c>
      <c r="J38" s="340" t="n"/>
      <c r="K38" s="345" t="n"/>
      <c r="L38" s="329">
        <f>IF(A38="U",(G38-F38)+(I38-H38)+(K38-J38),"NÃO ÚTIL")</f>
        <v/>
      </c>
      <c r="M38" s="330">
        <f>IF(A38="U",L7,"NÃO ÚTIL")</f>
        <v/>
      </c>
      <c r="N38" s="331">
        <f>IF(A38="U",(L38-M38),"NÃO ÚTIL")</f>
        <v/>
      </c>
      <c r="O38" s="47" t="n"/>
      <c r="P38" s="332">
        <f>IF(N38="não útil",0,N38)</f>
        <v/>
      </c>
      <c r="Q38" s="337">
        <f>P38+Q37</f>
        <v/>
      </c>
      <c r="R38" s="332">
        <f>Q38+$Q$4</f>
        <v/>
      </c>
      <c r="S38" s="47">
        <f>IF(B38=T38,"HOJE",".")</f>
        <v/>
      </c>
      <c r="T38" s="62">
        <f>TODAY()</f>
        <v/>
      </c>
      <c r="U38" s="332">
        <f>IF(S38="HOJE",R38,0)</f>
        <v/>
      </c>
      <c r="V38" s="47" t="n"/>
    </row>
    <row r="39" ht="16.5" customHeight="1" thickBot="1">
      <c r="A39" s="17">
        <f>IF(OR(C39=2,C39=8),"F","U")</f>
        <v/>
      </c>
      <c r="B39" s="46">
        <f>B38+1</f>
        <v/>
      </c>
      <c r="C39" s="393">
        <f>WEEKDAY(B39)+1</f>
        <v/>
      </c>
      <c r="D39" s="305" t="n"/>
      <c r="E39" s="296" t="n"/>
      <c r="F39" s="397" t="n">
        <v>0</v>
      </c>
      <c r="G39" s="397" t="n">
        <v>0</v>
      </c>
      <c r="H39" s="397" t="n">
        <v>0</v>
      </c>
      <c r="I39" s="397" t="n">
        <v>0</v>
      </c>
      <c r="J39" s="377" t="n"/>
      <c r="K39" s="339" t="n"/>
      <c r="L39" s="329">
        <f>IF(A39="U",(G39-F39)+(I39-H39)+(K39-J39),"NÃO ÚTIL")</f>
        <v/>
      </c>
      <c r="M39" s="330">
        <f>IF(A39="U",L7,"NÃO ÚTIL")</f>
        <v/>
      </c>
      <c r="N39" s="331">
        <f>IF(A39="U",(L39-M39),"NÃO ÚTIL")</f>
        <v/>
      </c>
      <c r="O39" s="47" t="n"/>
      <c r="P39" s="332">
        <f>IF(N39="não útil",0,N39)</f>
        <v/>
      </c>
      <c r="Q39" s="337">
        <f>P39+Q38</f>
        <v/>
      </c>
      <c r="R39" s="332">
        <f>Q39+$Q$4</f>
        <v/>
      </c>
      <c r="S39" s="47">
        <f>IF(B39=T39,"HOJE",".")</f>
        <v/>
      </c>
      <c r="T39" s="62">
        <f>TODAY()</f>
        <v/>
      </c>
      <c r="U39" s="332">
        <f>IF(S39="HOJE",R39,0)</f>
        <v/>
      </c>
      <c r="V39" s="47" t="n"/>
    </row>
    <row r="40" ht="16.5" customHeight="1" thickBot="1">
      <c r="A40" s="17">
        <f>IF(OR(C40=2,C40=8),"F","U")</f>
        <v/>
      </c>
      <c r="B40" s="46">
        <f>B39+1</f>
        <v/>
      </c>
      <c r="C40" s="393">
        <f>WEEKDAY(B40)+1</f>
        <v/>
      </c>
      <c r="D40" s="305" t="n"/>
      <c r="E40" s="296" t="n"/>
      <c r="F40" s="397" t="n">
        <v>0</v>
      </c>
      <c r="G40" s="397" t="n">
        <v>0</v>
      </c>
      <c r="H40" s="397" t="n">
        <v>0</v>
      </c>
      <c r="I40" s="397" t="n">
        <v>0</v>
      </c>
      <c r="J40" s="378" t="n"/>
      <c r="K40" s="341" t="n"/>
      <c r="L40" s="329">
        <f>IF(A40="U",(G40-F40)+(I40-H40)+(K40-J40),"NÃO ÚTIL")</f>
        <v/>
      </c>
      <c r="M40" s="330">
        <f>IF(A40="U",L7,"NÃO ÚTIL")</f>
        <v/>
      </c>
      <c r="N40" s="331">
        <f>IF(A40="U",(L40-M40),"NÃO ÚTIL")</f>
        <v/>
      </c>
      <c r="O40" s="47" t="n"/>
      <c r="P40" s="332">
        <f>IF(N40="não útil",0,N40)</f>
        <v/>
      </c>
      <c r="Q40" s="337">
        <f>P40+Q39</f>
        <v/>
      </c>
      <c r="R40" s="332">
        <f>Q40+$Q$4</f>
        <v/>
      </c>
      <c r="S40" s="47">
        <f>IF(B40=T40,"HOJE",".")</f>
        <v/>
      </c>
      <c r="T40" s="62">
        <f>TODAY()</f>
        <v/>
      </c>
      <c r="U40" s="332">
        <f>IF(S40="HOJE",R40,0)</f>
        <v/>
      </c>
      <c r="V40" s="47" t="n"/>
    </row>
    <row r="41" ht="16.5" customHeight="1" thickBot="1">
      <c r="A41" s="17">
        <f>IF(OR(C41=2,C41=8),"F","U")</f>
        <v/>
      </c>
      <c r="B41" s="46">
        <f>B40+1</f>
        <v/>
      </c>
      <c r="C41" s="393">
        <f>WEEKDAY(B41)+1</f>
        <v/>
      </c>
      <c r="D41" s="305" t="n"/>
      <c r="E41" s="296" t="n"/>
      <c r="F41" s="397" t="n">
        <v>0</v>
      </c>
      <c r="G41" s="397" t="n">
        <v>0</v>
      </c>
      <c r="H41" s="397" t="n">
        <v>0</v>
      </c>
      <c r="I41" s="397" t="n">
        <v>0</v>
      </c>
      <c r="J41" s="408" t="n"/>
      <c r="K41" s="339" t="n"/>
      <c r="L41" s="329">
        <f>IF(A41="U",(G41-F41)+(I41-H41)+(K41-J41),"NÃO ÚTIL")</f>
        <v/>
      </c>
      <c r="M41" s="330">
        <f>IF(A41="U",L7,"NÃO ÚTIL")</f>
        <v/>
      </c>
      <c r="N41" s="331">
        <f>IF(A41="U",(L41-M41),"NÃO ÚTIL")</f>
        <v/>
      </c>
      <c r="O41" s="47" t="n"/>
      <c r="P41" s="332">
        <f>IF(N41="não útil",0,N41)</f>
        <v/>
      </c>
      <c r="Q41" s="337">
        <f>P41+Q40</f>
        <v/>
      </c>
      <c r="R41" s="332">
        <f>Q41+$Q$4</f>
        <v/>
      </c>
      <c r="S41" s="47">
        <f>IF(B41=T41,"HOJE",".")</f>
        <v/>
      </c>
      <c r="T41" s="62">
        <f>TODAY()</f>
        <v/>
      </c>
      <c r="U41" s="332">
        <f>IF(S41="HOJE",R41,0)</f>
        <v/>
      </c>
      <c r="V41" s="47" t="n"/>
    </row>
    <row r="42" ht="16.5" customHeight="1" thickBot="1">
      <c r="A42" s="17">
        <f>IF(OR(C42=2,C42=8),"F","U")</f>
        <v/>
      </c>
      <c r="B42" s="46">
        <f>B41+1</f>
        <v/>
      </c>
      <c r="C42" s="393">
        <f>WEEKDAY(B42)+1</f>
        <v/>
      </c>
      <c r="D42" s="305" t="n"/>
      <c r="E42" s="296" t="n"/>
      <c r="F42" s="397" t="n">
        <v>0</v>
      </c>
      <c r="G42" s="397" t="n">
        <v>0</v>
      </c>
      <c r="H42" s="397" t="n">
        <v>0</v>
      </c>
      <c r="I42" s="397" t="n">
        <v>0</v>
      </c>
      <c r="J42" s="377" t="n"/>
      <c r="K42" s="341" t="n"/>
      <c r="L42" s="329">
        <f>IF(A42="U",(G42-F42)+(I42-H42)+(K42-J42),"NÃO ÚTIL")</f>
        <v/>
      </c>
      <c r="M42" s="330">
        <f>IF(A42="U",L7,"NÃO ÚTIL")</f>
        <v/>
      </c>
      <c r="N42" s="331">
        <f>IF(A42="U",(L42-M42),"NÃO ÚTIL")</f>
        <v/>
      </c>
      <c r="O42" s="47" t="n"/>
      <c r="P42" s="332">
        <f>IF(N42="não útil",0,N42)</f>
        <v/>
      </c>
      <c r="Q42" s="337">
        <f>P42+Q41</f>
        <v/>
      </c>
      <c r="R42" s="332">
        <f>Q42+$Q$4</f>
        <v/>
      </c>
      <c r="S42" s="47">
        <f>IF(B42=T42,"HOJE",".")</f>
        <v/>
      </c>
      <c r="T42" s="62">
        <f>TODAY()</f>
        <v/>
      </c>
      <c r="U42" s="332">
        <f>IF(S42="HOJE",R42,0)</f>
        <v/>
      </c>
      <c r="V42" s="47" t="n"/>
    </row>
    <row r="43" ht="16.5" customHeight="1" thickBot="1">
      <c r="A43" s="17">
        <f>IF(OR(C43=2,C43=8),"F","U")</f>
        <v/>
      </c>
      <c r="B43" s="46">
        <f>B42+1</f>
        <v/>
      </c>
      <c r="C43" s="393">
        <f>WEEKDAY(B43)+1</f>
        <v/>
      </c>
      <c r="D43" s="305" t="n"/>
      <c r="E43" s="296" t="n"/>
      <c r="F43" s="397" t="n">
        <v>0</v>
      </c>
      <c r="G43" s="397" t="n">
        <v>0</v>
      </c>
      <c r="H43" s="397" t="n">
        <v>0</v>
      </c>
      <c r="I43" s="397" t="n">
        <v>0</v>
      </c>
      <c r="J43" s="377" t="n"/>
      <c r="K43" s="339" t="n"/>
      <c r="L43" s="329">
        <f>IF(A43="U",(G43-F43)+(I43-H43)+(K43-J43),"NÃO ÚTIL")</f>
        <v/>
      </c>
      <c r="M43" s="330">
        <f>IF(A43="U",L7,"NÃO ÚTIL")</f>
        <v/>
      </c>
      <c r="N43" s="331">
        <f>IF(A43="U",(L43-M43),"NÃO ÚTIL")</f>
        <v/>
      </c>
      <c r="O43" s="47" t="n"/>
      <c r="P43" s="332">
        <f>IF(N43="não útil",0,N43)</f>
        <v/>
      </c>
      <c r="Q43" s="337">
        <f>P43+Q42</f>
        <v/>
      </c>
      <c r="R43" s="332">
        <f>Q43+$Q$4</f>
        <v/>
      </c>
      <c r="S43" s="47">
        <f>IF(B43=T43,"HOJE",".")</f>
        <v/>
      </c>
      <c r="T43" s="62">
        <f>TODAY()</f>
        <v/>
      </c>
      <c r="U43" s="332">
        <f>IF(S43="HOJE",R43,0)</f>
        <v/>
      </c>
      <c r="V43" s="47" t="n"/>
    </row>
    <row r="44" ht="16.5" customHeight="1" thickBot="1">
      <c r="A44" s="17">
        <f>IF(OR(C44=2,C44=8),"F","U")</f>
        <v/>
      </c>
      <c r="B44" s="46">
        <f>B43+1</f>
        <v/>
      </c>
      <c r="C44" s="393">
        <f>WEEKDAY(B44)+1</f>
        <v/>
      </c>
      <c r="D44" s="305" t="n"/>
      <c r="E44" s="296" t="n"/>
      <c r="F44" s="397" t="n">
        <v>0</v>
      </c>
      <c r="G44" s="397" t="n">
        <v>0</v>
      </c>
      <c r="H44" s="397" t="n">
        <v>0</v>
      </c>
      <c r="I44" s="397" t="n">
        <v>0</v>
      </c>
      <c r="J44" s="377" t="n"/>
      <c r="K44" s="339" t="n"/>
      <c r="L44" s="329">
        <f>IF(A44="U",(G44-F44)+(I44-H44)+(K44-J44),"NÃO ÚTIL")</f>
        <v/>
      </c>
      <c r="M44" s="330">
        <f>IF(A44="U",L7,"NÃO ÚTIL")</f>
        <v/>
      </c>
      <c r="N44" s="331">
        <f>IF(A44="U",(L44-M44),"NÃO ÚTIL")</f>
        <v/>
      </c>
      <c r="O44" s="47" t="n"/>
      <c r="P44" s="332">
        <f>IF(N44="não útil",0,N44)</f>
        <v/>
      </c>
      <c r="Q44" s="337">
        <f>P44+Q43</f>
        <v/>
      </c>
      <c r="R44" s="332">
        <f>Q44+$Q$4</f>
        <v/>
      </c>
      <c r="S44" s="47">
        <f>IF(B44=T44,"HOJE",".")</f>
        <v/>
      </c>
      <c r="T44" s="62">
        <f>TODAY()</f>
        <v/>
      </c>
      <c r="U44" s="332">
        <f>IF(S44="HOJE",R44,0)</f>
        <v/>
      </c>
      <c r="V44" s="47" t="n"/>
    </row>
    <row r="45" ht="23.25" customHeight="1" thickBot="1">
      <c r="A45" s="346" t="inlineStr">
        <is>
          <t>TOTAL MÊS:</t>
        </is>
      </c>
      <c r="B45" s="347" t="n"/>
      <c r="C45" s="347" t="n"/>
      <c r="D45" s="347" t="n"/>
      <c r="E45" s="347" t="n"/>
      <c r="F45" s="347" t="n"/>
      <c r="G45" s="347" t="n"/>
      <c r="H45" s="347" t="n"/>
      <c r="I45" s="347" t="n"/>
      <c r="J45" s="347" t="n"/>
      <c r="K45" s="348" t="n"/>
      <c r="L45" s="349">
        <f>SUM(L14:L44)</f>
        <v/>
      </c>
      <c r="M45" s="349">
        <f>SUM(M14:M44)</f>
        <v/>
      </c>
      <c r="N45" s="350">
        <f>SUM(N14:N44)</f>
        <v/>
      </c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 ht="12" customHeight="1" thickBot="1">
      <c r="A46" s="247" t="inlineStr">
        <is>
          <t>OBS:</t>
        </is>
      </c>
      <c r="B46" s="292" t="n"/>
      <c r="C46" s="160" t="n"/>
      <c r="D46" s="292" t="n"/>
      <c r="E46" s="292" t="n"/>
      <c r="F46" s="292" t="n"/>
      <c r="G46" s="292" t="n"/>
      <c r="H46" s="292" t="n"/>
      <c r="I46" s="293" t="n"/>
      <c r="J46" s="161" t="n"/>
      <c r="K46" s="347" t="n"/>
      <c r="L46" s="347" t="n"/>
      <c r="M46" s="347" t="n"/>
      <c r="N46" s="352" t="inlineStr">
        <is>
          <t>HORA (S)</t>
        </is>
      </c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 ht="12" customHeight="1" thickBot="1">
      <c r="A47" s="106" t="n"/>
      <c r="B47" s="297" t="n"/>
      <c r="C47" s="297" t="n"/>
      <c r="D47" s="297" t="n"/>
      <c r="E47" s="297" t="n"/>
      <c r="F47" s="297" t="n"/>
      <c r="G47" s="297" t="n"/>
      <c r="H47" s="297" t="n"/>
      <c r="I47" s="298" t="n"/>
      <c r="J47" s="353" t="inlineStr">
        <is>
          <t>CARGA HORÁRIA TRABAHADA (MÊS)</t>
        </is>
      </c>
      <c r="K47" s="354" t="n"/>
      <c r="L47" s="355" t="n"/>
      <c r="M47" s="356">
        <f>L45</f>
        <v/>
      </c>
      <c r="N47" s="355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 ht="12" customHeight="1" thickBot="1">
      <c r="A48" s="106" t="n"/>
      <c r="B48" s="297" t="n"/>
      <c r="C48" s="297" t="n"/>
      <c r="D48" s="297" t="n"/>
      <c r="E48" s="297" t="n"/>
      <c r="F48" s="297" t="n"/>
      <c r="G48" s="297" t="n"/>
      <c r="H48" s="297" t="n"/>
      <c r="I48" s="298" t="n"/>
      <c r="J48" s="322" t="n"/>
      <c r="K48" s="322" t="n"/>
      <c r="L48" s="318" t="n"/>
      <c r="M48" s="321" t="n"/>
      <c r="N48" s="318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12" customHeight="1" thickBot="1">
      <c r="A49" s="106" t="n"/>
      <c r="B49" s="297" t="n"/>
      <c r="C49" s="297" t="n"/>
      <c r="D49" s="297" t="n"/>
      <c r="E49" s="297" t="n"/>
      <c r="F49" s="297" t="n"/>
      <c r="G49" s="297" t="n"/>
      <c r="H49" s="297" t="n"/>
      <c r="I49" s="298" t="n"/>
      <c r="J49" s="353" t="inlineStr">
        <is>
          <t>CARGA HORÁRIA PREVISTA (MÊS)</t>
        </is>
      </c>
      <c r="K49" s="354" t="n"/>
      <c r="L49" s="355" t="n"/>
      <c r="M49" s="356">
        <f>M45</f>
        <v/>
      </c>
      <c r="N49" s="355" t="n"/>
      <c r="O49" s="47" t="n"/>
      <c r="P49" s="47" t="n"/>
      <c r="Q49" s="47" t="n"/>
      <c r="R49" s="47" t="n"/>
      <c r="S49" s="47" t="n"/>
      <c r="T49" s="47" t="n"/>
      <c r="U49" s="47" t="n"/>
      <c r="V49" s="47" t="n"/>
    </row>
    <row r="50" ht="12" customHeight="1" thickBot="1">
      <c r="A50" s="106" t="n"/>
      <c r="B50" s="297" t="n"/>
      <c r="C50" s="297" t="n"/>
      <c r="D50" s="297" t="n"/>
      <c r="E50" s="297" t="n"/>
      <c r="F50" s="297" t="n"/>
      <c r="G50" s="297" t="n"/>
      <c r="H50" s="297" t="n"/>
      <c r="I50" s="298" t="n"/>
      <c r="J50" s="322" t="n"/>
      <c r="K50" s="322" t="n"/>
      <c r="L50" s="318" t="n"/>
      <c r="M50" s="321" t="n"/>
      <c r="N50" s="318" t="n"/>
      <c r="O50" s="47" t="n"/>
      <c r="P50" s="47" t="n"/>
      <c r="Q50" s="47" t="n"/>
      <c r="R50" s="47" t="n"/>
      <c r="S50" s="47" t="n"/>
      <c r="T50" s="47" t="n"/>
      <c r="U50" s="47" t="n"/>
      <c r="V50" s="47" t="n"/>
    </row>
    <row r="51" ht="12" customHeight="1" thickBot="1">
      <c r="A51" s="106" t="n"/>
      <c r="B51" s="297" t="n"/>
      <c r="C51" s="297" t="n"/>
      <c r="D51" s="297" t="n"/>
      <c r="E51" s="297" t="n"/>
      <c r="F51" s="297" t="n"/>
      <c r="G51" s="297" t="n"/>
      <c r="H51" s="297" t="n"/>
      <c r="I51" s="298" t="n"/>
      <c r="J51" s="357" t="inlineStr">
        <is>
          <t>SALDO CARGA HORÁRIA (MÊS)</t>
        </is>
      </c>
      <c r="K51" s="354" t="n"/>
      <c r="L51" s="355" t="n"/>
      <c r="M51" s="356">
        <f>N45</f>
        <v/>
      </c>
      <c r="N51" s="355" t="n"/>
      <c r="O51" s="47" t="n"/>
      <c r="P51" s="47" t="n"/>
      <c r="Q51" s="47" t="n"/>
      <c r="R51" s="47" t="n"/>
      <c r="S51" s="47" t="n"/>
      <c r="T51" s="47" t="n"/>
      <c r="U51" s="47" t="n"/>
      <c r="V51" s="47" t="n"/>
    </row>
    <row r="52" ht="12" customHeight="1" thickBot="1">
      <c r="A52" s="106" t="n"/>
      <c r="B52" s="297" t="n"/>
      <c r="C52" s="297" t="n"/>
      <c r="D52" s="297" t="n"/>
      <c r="E52" s="297" t="n"/>
      <c r="F52" s="297" t="n"/>
      <c r="G52" s="297" t="n"/>
      <c r="H52" s="297" t="n"/>
      <c r="I52" s="298" t="n"/>
      <c r="J52" s="322" t="n"/>
      <c r="K52" s="322" t="n"/>
      <c r="L52" s="318" t="n"/>
      <c r="M52" s="321" t="n"/>
      <c r="N52" s="318" t="n"/>
      <c r="O52" s="47" t="n"/>
      <c r="P52" s="47" t="n"/>
      <c r="Q52" s="47" t="n"/>
      <c r="R52" s="47" t="n"/>
      <c r="S52" s="47" t="n"/>
      <c r="T52" s="47" t="n"/>
      <c r="U52" s="47" t="n"/>
      <c r="V52" s="47" t="n"/>
    </row>
    <row r="53" ht="12" customHeight="1">
      <c r="A53" s="106" t="n"/>
      <c r="B53" s="297" t="n"/>
      <c r="C53" s="297" t="n"/>
      <c r="D53" s="297" t="n"/>
      <c r="E53" s="297" t="n"/>
      <c r="F53" s="297" t="n"/>
      <c r="G53" s="297" t="n"/>
      <c r="H53" s="297" t="n"/>
      <c r="I53" s="298" t="n"/>
      <c r="J53" s="357" t="inlineStr">
        <is>
          <t>SALDO MÊS ANTERIOR</t>
        </is>
      </c>
      <c r="K53" s="354" t="n"/>
      <c r="L53" s="355" t="n"/>
      <c r="M53" s="356">
        <f>SET!M54</f>
        <v/>
      </c>
      <c r="N53" s="355" t="n"/>
      <c r="O53" s="47" t="n"/>
      <c r="P53" s="47" t="n"/>
      <c r="Q53" s="47" t="n"/>
      <c r="R53" s="47" t="n"/>
      <c r="S53" s="47" t="n"/>
      <c r="T53" s="47" t="n"/>
      <c r="U53" s="47" t="n"/>
      <c r="V53" s="47" t="n"/>
    </row>
    <row r="54" ht="12" customHeight="1" thickBot="1">
      <c r="A54" s="106" t="n"/>
      <c r="B54" s="297" t="n"/>
      <c r="C54" s="297" t="n"/>
      <c r="D54" s="297" t="n"/>
      <c r="E54" s="297" t="n"/>
      <c r="F54" s="297" t="n"/>
      <c r="G54" s="297" t="n"/>
      <c r="H54" s="297" t="n"/>
      <c r="I54" s="298" t="n"/>
      <c r="J54" s="322" t="n"/>
      <c r="K54" s="322" t="n"/>
      <c r="L54" s="318" t="n"/>
      <c r="M54" s="321" t="n"/>
      <c r="N54" s="318" t="n"/>
      <c r="O54" s="47" t="n"/>
      <c r="P54" s="47" t="n"/>
      <c r="Q54" s="47" t="n"/>
      <c r="R54" s="47" t="n"/>
      <c r="S54" s="47" t="n"/>
      <c r="T54" s="47" t="n"/>
      <c r="U54" s="47" t="n"/>
      <c r="V54" s="47" t="n"/>
    </row>
    <row r="55" ht="12" customHeight="1">
      <c r="A55" s="106" t="n"/>
      <c r="B55" s="297" t="n"/>
      <c r="C55" s="297" t="n"/>
      <c r="D55" s="297" t="n"/>
      <c r="E55" s="297" t="n"/>
      <c r="F55" s="297" t="n"/>
      <c r="G55" s="297" t="n"/>
      <c r="H55" s="297" t="n"/>
      <c r="I55" s="298" t="n"/>
      <c r="J55" s="362" t="inlineStr">
        <is>
          <t>SALDO TOTAL</t>
        </is>
      </c>
      <c r="K55" s="354" t="n"/>
      <c r="L55" s="355" t="n"/>
      <c r="M55" s="356">
        <f>SUM(M51:N54)</f>
        <v/>
      </c>
      <c r="N55" s="355" t="n"/>
      <c r="O55" s="47" t="n"/>
      <c r="P55" s="47" t="n"/>
      <c r="Q55" s="47" t="n"/>
      <c r="R55" s="47" t="n"/>
      <c r="S55" s="47" t="n"/>
      <c r="T55" s="47" t="n"/>
      <c r="U55" s="47" t="n"/>
      <c r="V55" s="47" t="n"/>
    </row>
    <row r="56" ht="12" customHeight="1" thickBot="1">
      <c r="A56" s="106" t="n"/>
      <c r="B56" s="297" t="n"/>
      <c r="C56" s="297" t="n"/>
      <c r="D56" s="297" t="n"/>
      <c r="E56" s="297" t="n"/>
      <c r="F56" s="297" t="n"/>
      <c r="G56" s="297" t="n"/>
      <c r="H56" s="297" t="n"/>
      <c r="I56" s="298" t="n"/>
      <c r="J56" s="322" t="n"/>
      <c r="K56" s="322" t="n"/>
      <c r="L56" s="318" t="n"/>
      <c r="M56" s="321" t="n"/>
      <c r="N56" s="318" t="n"/>
      <c r="O56" s="47" t="n"/>
      <c r="P56" s="47" t="n"/>
      <c r="Q56" s="47" t="n"/>
      <c r="R56" s="47" t="n"/>
      <c r="S56" s="47" t="n"/>
      <c r="T56" s="47" t="n"/>
      <c r="U56" s="47" t="n"/>
      <c r="V56" s="47" t="n"/>
    </row>
    <row r="57" ht="12" customHeight="1" thickBot="1">
      <c r="A57" s="106" t="n"/>
      <c r="B57" s="297" t="n"/>
      <c r="C57" s="297" t="n"/>
      <c r="D57" s="297" t="n"/>
      <c r="E57" s="297" t="n"/>
      <c r="F57" s="297" t="n"/>
      <c r="G57" s="297" t="n"/>
      <c r="H57" s="297" t="n"/>
      <c r="I57" s="298" t="n"/>
      <c r="J57" s="357" t="inlineStr">
        <is>
          <t>SALDO: CREDOR? DEVEDOR?</t>
        </is>
      </c>
      <c r="K57" s="354" t="n"/>
      <c r="L57" s="355" t="n"/>
      <c r="M57" s="363">
        <f>IF(M55&lt;0,"DVEEDOR","CREDOR")</f>
        <v/>
      </c>
      <c r="N57" s="355" t="n"/>
      <c r="O57" s="47" t="n"/>
      <c r="P57" s="47" t="n"/>
      <c r="Q57" s="47" t="n"/>
      <c r="R57" s="47" t="n"/>
      <c r="S57" s="47" t="n"/>
      <c r="T57" s="47" t="n"/>
      <c r="U57" s="47" t="n"/>
      <c r="V57" s="47" t="n"/>
    </row>
    <row r="58" ht="12" customHeight="1" thickBot="1">
      <c r="A58" s="106" t="n"/>
      <c r="B58" s="297" t="n"/>
      <c r="C58" s="297" t="n"/>
      <c r="D58" s="297" t="n"/>
      <c r="E58" s="297" t="n"/>
      <c r="F58" s="297" t="n"/>
      <c r="G58" s="297" t="n"/>
      <c r="H58" s="297" t="n"/>
      <c r="I58" s="298" t="n"/>
      <c r="J58" s="322" t="n"/>
      <c r="K58" s="322" t="n"/>
      <c r="L58" s="318" t="n"/>
      <c r="M58" s="321" t="n"/>
      <c r="N58" s="318" t="n"/>
      <c r="O58" s="47" t="n"/>
      <c r="P58" s="47" t="n"/>
      <c r="Q58" s="47" t="n"/>
      <c r="R58" s="47" t="n"/>
      <c r="S58" s="47" t="n"/>
      <c r="T58" s="47" t="n"/>
      <c r="U58" s="47" t="n"/>
      <c r="V58" s="47" t="n"/>
    </row>
    <row r="59" ht="12" customHeight="1">
      <c r="A59" s="106" t="n"/>
      <c r="B59" s="297" t="n"/>
      <c r="C59" s="297" t="n"/>
      <c r="D59" s="297" t="n"/>
      <c r="E59" s="297" t="n"/>
      <c r="F59" s="297" t="n"/>
      <c r="G59" s="297" t="n"/>
      <c r="H59" s="297" t="n"/>
      <c r="I59" s="298" t="n"/>
      <c r="J59" s="260" t="n"/>
      <c r="K59" s="354" t="n"/>
      <c r="L59" s="355" t="n"/>
      <c r="M59" s="364" t="n"/>
      <c r="N59" s="355" t="n"/>
      <c r="O59" s="47" t="n"/>
      <c r="P59" s="47" t="n"/>
      <c r="Q59" s="47" t="n"/>
      <c r="R59" s="47" t="n"/>
      <c r="S59" s="47" t="n"/>
      <c r="T59" s="47" t="n"/>
      <c r="U59" s="47" t="n"/>
      <c r="V59" s="47" t="n"/>
    </row>
    <row r="60" ht="12" customHeight="1" thickBot="1">
      <c r="A60" s="106" t="n"/>
      <c r="B60" s="297" t="n"/>
      <c r="C60" s="297" t="n"/>
      <c r="D60" s="297" t="n"/>
      <c r="E60" s="297" t="n"/>
      <c r="F60" s="297" t="n"/>
      <c r="G60" s="297" t="n"/>
      <c r="H60" s="297" t="n"/>
      <c r="I60" s="298" t="n"/>
      <c r="J60" s="322" t="n"/>
      <c r="K60" s="322" t="n"/>
      <c r="L60" s="318" t="n"/>
      <c r="M60" s="321" t="n"/>
      <c r="N60" s="318" t="n"/>
      <c r="O60" s="47" t="n"/>
      <c r="P60" s="47" t="n"/>
      <c r="Q60" s="47" t="n"/>
      <c r="R60" s="47" t="n"/>
      <c r="S60" s="47" t="n"/>
      <c r="T60" s="47" t="n"/>
      <c r="U60" s="47" t="n"/>
      <c r="V60" s="47" t="n"/>
    </row>
    <row r="61" ht="12" customHeight="1" thickBot="1">
      <c r="A61" s="116" t="n"/>
      <c r="B61" s="312" t="n"/>
      <c r="C61" s="312" t="n"/>
      <c r="D61" s="312" t="n"/>
      <c r="E61" s="312" t="n"/>
      <c r="F61" s="312" t="n"/>
      <c r="G61" s="312" t="n"/>
      <c r="H61" s="312" t="n"/>
      <c r="I61" s="313" t="n"/>
      <c r="J61" s="111" t="n"/>
      <c r="K61" s="322" t="n"/>
      <c r="L61" s="318" t="n"/>
      <c r="M61" s="394" t="n"/>
      <c r="N61" s="318" t="n"/>
      <c r="O61" s="47" t="n"/>
      <c r="P61" s="47" t="n"/>
      <c r="Q61" s="47" t="n"/>
      <c r="R61" s="47" t="n"/>
      <c r="S61" s="47" t="n"/>
      <c r="T61" s="47" t="n"/>
      <c r="U61" s="47" t="n"/>
      <c r="V61" s="47" t="n"/>
    </row>
    <row r="62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104" t="inlineStr">
        <is>
          <t>Colaboração do Tônio</t>
        </is>
      </c>
      <c r="M62" s="354" t="n"/>
      <c r="N62" s="354" t="n"/>
      <c r="O62" s="47" t="n"/>
      <c r="P62" s="47" t="n"/>
      <c r="Q62" s="47" t="n"/>
      <c r="R62" s="47" t="n"/>
      <c r="S62" s="47" t="n"/>
      <c r="T62" s="47" t="n"/>
      <c r="U62" s="47" t="n"/>
      <c r="V62" s="47" t="n"/>
    </row>
  </sheetData>
  <mergeCells count="94">
    <mergeCell ref="C44:E44"/>
    <mergeCell ref="A12:E13"/>
    <mergeCell ref="C31:E31"/>
    <mergeCell ref="J10:K10"/>
    <mergeCell ref="C40:E40"/>
    <mergeCell ref="A56:I56"/>
    <mergeCell ref="C21:E21"/>
    <mergeCell ref="M57:N58"/>
    <mergeCell ref="A7:B7"/>
    <mergeCell ref="C23:E23"/>
    <mergeCell ref="A53:I53"/>
    <mergeCell ref="R12:S12"/>
    <mergeCell ref="J59:L60"/>
    <mergeCell ref="C18:E18"/>
    <mergeCell ref="J61:L61"/>
    <mergeCell ref="J55:L56"/>
    <mergeCell ref="M49:N50"/>
    <mergeCell ref="C34:E34"/>
    <mergeCell ref="A48:I48"/>
    <mergeCell ref="C42:E42"/>
    <mergeCell ref="A59:I59"/>
    <mergeCell ref="A61:I61"/>
    <mergeCell ref="J47:L48"/>
    <mergeCell ref="C20:E20"/>
    <mergeCell ref="C25:E25"/>
    <mergeCell ref="C8:I8"/>
    <mergeCell ref="A11:B11"/>
    <mergeCell ref="C22:E22"/>
    <mergeCell ref="L8:N8"/>
    <mergeCell ref="J51:L52"/>
    <mergeCell ref="J57:L58"/>
    <mergeCell ref="C39:E39"/>
    <mergeCell ref="A46:B46"/>
    <mergeCell ref="C32:E32"/>
    <mergeCell ref="C38:E38"/>
    <mergeCell ref="A52:I52"/>
    <mergeCell ref="A3:N3"/>
    <mergeCell ref="J49:L50"/>
    <mergeCell ref="A5:N5"/>
    <mergeCell ref="A8:B8"/>
    <mergeCell ref="C15:E15"/>
    <mergeCell ref="F11:H11"/>
    <mergeCell ref="C24:E24"/>
    <mergeCell ref="H12:I12"/>
    <mergeCell ref="C33:E33"/>
    <mergeCell ref="J12:K12"/>
    <mergeCell ref="A49:I49"/>
    <mergeCell ref="A4:N4"/>
    <mergeCell ref="M51:N52"/>
    <mergeCell ref="C26:E26"/>
    <mergeCell ref="C46:I46"/>
    <mergeCell ref="C35:E35"/>
    <mergeCell ref="C16:E16"/>
    <mergeCell ref="L62:N62"/>
    <mergeCell ref="K9:L9"/>
    <mergeCell ref="J46:M46"/>
    <mergeCell ref="C7:I7"/>
    <mergeCell ref="A55:I55"/>
    <mergeCell ref="A45:K45"/>
    <mergeCell ref="K6:N6"/>
    <mergeCell ref="C11:E11"/>
    <mergeCell ref="C36:E36"/>
    <mergeCell ref="A57:I57"/>
    <mergeCell ref="M53:N54"/>
    <mergeCell ref="M47:N48"/>
    <mergeCell ref="C28:E28"/>
    <mergeCell ref="C37:E37"/>
    <mergeCell ref="M59:N60"/>
    <mergeCell ref="A2:N2"/>
    <mergeCell ref="C10:I10"/>
    <mergeCell ref="C30:E30"/>
    <mergeCell ref="C14:E14"/>
    <mergeCell ref="C9:I9"/>
    <mergeCell ref="I11:N11"/>
    <mergeCell ref="P12:Q12"/>
    <mergeCell ref="C41:E41"/>
    <mergeCell ref="A50:I50"/>
    <mergeCell ref="C43:E43"/>
    <mergeCell ref="A6:B6"/>
    <mergeCell ref="F12:G12"/>
    <mergeCell ref="C27:E27"/>
    <mergeCell ref="A47:I47"/>
    <mergeCell ref="J53:L54"/>
    <mergeCell ref="C17:E17"/>
    <mergeCell ref="C6:I6"/>
    <mergeCell ref="C19:E19"/>
    <mergeCell ref="J7:K7"/>
    <mergeCell ref="A58:I58"/>
    <mergeCell ref="M61:N61"/>
    <mergeCell ref="M55:N56"/>
    <mergeCell ref="A51:I51"/>
    <mergeCell ref="A60:I60"/>
    <mergeCell ref="C29:E29"/>
    <mergeCell ref="A54:I54"/>
  </mergeCells>
  <conditionalFormatting sqref="A14:A44">
    <cfRule type="containsText" priority="76" operator="containsText" dxfId="25" stopIfTrue="1" text="F">
      <formula>NOT(ISERROR(SEARCH("F",A14)))</formula>
    </cfRule>
  </conditionalFormatting>
  <conditionalFormatting sqref="C14:E44">
    <cfRule type="cellIs" priority="74" operator="equal" dxfId="11" stopIfTrue="1">
      <formula>2</formula>
    </cfRule>
    <cfRule type="cellIs" priority="75" operator="equal" dxfId="11" stopIfTrue="1">
      <formula>8</formula>
    </cfRule>
  </conditionalFormatting>
  <conditionalFormatting sqref="L45">
    <cfRule type="cellIs" priority="69" operator="equal" dxfId="10" stopIfTrue="1">
      <formula>0</formula>
    </cfRule>
  </conditionalFormatting>
  <conditionalFormatting sqref="L14:M44">
    <cfRule type="cellIs" priority="71" operator="equal" dxfId="10" stopIfTrue="1">
      <formula>0</formula>
    </cfRule>
  </conditionalFormatting>
  <conditionalFormatting sqref="L14:N45">
    <cfRule type="cellIs" priority="70" operator="greaterThan" dxfId="10" stopIfTrue="1">
      <formula>0</formula>
    </cfRule>
    <cfRule type="cellIs" priority="72" operator="lessThan" dxfId="11" stopIfTrue="1">
      <formula>0</formula>
    </cfRule>
  </conditionalFormatting>
  <conditionalFormatting sqref="M47:N48">
    <cfRule type="cellIs" priority="65" operator="equal" dxfId="10" stopIfTrue="1">
      <formula>0</formula>
    </cfRule>
  </conditionalFormatting>
  <conditionalFormatting sqref="M47:N52 M53 M55 M57:N58 M59">
    <cfRule type="cellIs" priority="67" operator="greaterThan" dxfId="10" stopIfTrue="1">
      <formula>0</formula>
    </cfRule>
    <cfRule type="cellIs" priority="68" operator="lessThan" dxfId="11" stopIfTrue="1">
      <formula>0</formula>
    </cfRule>
  </conditionalFormatting>
  <conditionalFormatting sqref="M51:N52 M53 M55">
    <cfRule type="cellIs" priority="66" operator="equal" dxfId="14" stopIfTrue="1">
      <formula>0</formula>
    </cfRule>
  </conditionalFormatting>
  <conditionalFormatting sqref="M57:N58 M59">
    <cfRule type="cellIs" priority="62" operator="equal" dxfId="13" stopIfTrue="1">
      <formula>0</formula>
    </cfRule>
  </conditionalFormatting>
  <conditionalFormatting sqref="N14:N44">
    <cfRule type="cellIs" priority="73" operator="equal" dxfId="10" stopIfTrue="1">
      <formula>0</formula>
    </cfRule>
  </conditionalFormatting>
  <conditionalFormatting sqref="N14:N45">
    <cfRule type="cellIs" priority="77" operator="equal" dxfId="4" stopIfTrue="1">
      <formula>0</formula>
    </cfRule>
  </conditionalFormatting>
  <pageMargins left="0.1181102362204725" right="0.1181102362204725" top="0.5905511811023623" bottom="0.5905511811023623" header="0.3149606299212598" footer="0.3149606299212598"/>
  <pageSetup orientation="portrait" paperSize="9" scale="80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62"/>
  <sheetViews>
    <sheetView showGridLines="0" workbookViewId="0">
      <selection activeCell="I18" sqref="I18"/>
    </sheetView>
  </sheetViews>
  <sheetFormatPr baseColWidth="8" defaultRowHeight="15"/>
  <cols>
    <col width="3.140625" customWidth="1" min="4" max="4"/>
    <col width="11.28515625" customWidth="1" min="16" max="16"/>
    <col width="12.140625" customWidth="1" min="19" max="19"/>
    <col hidden="1" width="12.140625" customWidth="1" min="20" max="20"/>
    <col width="12.140625" customWidth="1" min="21" max="21"/>
  </cols>
  <sheetData>
    <row r="1">
      <c r="A1" s="52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4" t="n"/>
    </row>
    <row r="2" ht="15.75" customHeight="1">
      <c r="A2" s="286" t="inlineStr">
        <is>
          <t>GOVERNO DO ESTADO DO ESPÍRITO SANTO</t>
        </is>
      </c>
      <c r="N2" s="287" t="n"/>
    </row>
    <row r="3" ht="19.5" customHeight="1">
      <c r="A3" s="286" t="inlineStr">
        <is>
          <t>SUPERINTENDÊNCIA REGIONAL DE EDUCAÇÃO DE CARAPINA</t>
        </is>
      </c>
      <c r="N3" s="287" t="n"/>
    </row>
    <row r="4" ht="25.5" customHeight="1">
      <c r="A4" s="288" t="inlineStr">
        <is>
          <t>CARTÃO DE PONTO</t>
        </is>
      </c>
      <c r="N4" s="287" t="n"/>
      <c r="Q4" s="289" t="n">
        <v>0</v>
      </c>
      <c r="R4" t="inlineStr">
        <is>
          <t>saldo anterior</t>
        </is>
      </c>
    </row>
    <row r="5" ht="6.75" customHeight="1" thickBot="1">
      <c r="A5" s="290" t="n"/>
      <c r="N5" s="287" t="n"/>
    </row>
    <row r="6" ht="15.75" customHeight="1">
      <c r="A6" s="186" t="inlineStr">
        <is>
          <t xml:space="preserve">NOME: </t>
        </is>
      </c>
      <c r="B6" s="291" t="n"/>
      <c r="C6" s="188" t="n"/>
      <c r="D6" s="292" t="n"/>
      <c r="E6" s="292" t="n"/>
      <c r="F6" s="292" t="n"/>
      <c r="G6" s="292" t="n"/>
      <c r="H6" s="292" t="n"/>
      <c r="I6" s="293" t="n"/>
      <c r="J6" s="1" t="inlineStr">
        <is>
          <t>MÊS:</t>
        </is>
      </c>
      <c r="K6" s="294" t="n">
        <v>43769</v>
      </c>
      <c r="L6" s="292" t="n"/>
      <c r="M6" s="292" t="n"/>
      <c r="N6" s="293" t="n"/>
    </row>
    <row r="7">
      <c r="A7" s="295" t="inlineStr">
        <is>
          <t>CARGO:</t>
        </is>
      </c>
      <c r="B7" s="296" t="n"/>
      <c r="C7" s="203">
        <f>JAN!C7:I7</f>
        <v/>
      </c>
      <c r="D7" s="297" t="n"/>
      <c r="E7" s="297" t="n"/>
      <c r="F7" s="297" t="n"/>
      <c r="G7" s="297" t="n"/>
      <c r="H7" s="297" t="n"/>
      <c r="I7" s="298" t="n"/>
      <c r="J7" s="299" t="inlineStr">
        <is>
          <t>CH DIÁRIA:</t>
        </is>
      </c>
      <c r="K7" s="296" t="n"/>
      <c r="L7" s="300">
        <f>JAN!L7</f>
        <v/>
      </c>
      <c r="M7" s="301">
        <f>JAN!M7</f>
        <v/>
      </c>
      <c r="N7" s="302">
        <f>JAN!N7</f>
        <v/>
      </c>
    </row>
    <row r="8" ht="16.5" customHeight="1">
      <c r="A8" s="295" t="inlineStr">
        <is>
          <t>FUNÇÃO:</t>
        </is>
      </c>
      <c r="B8" s="296" t="n"/>
      <c r="C8" s="303">
        <f>JAN!C8:I8</f>
        <v/>
      </c>
      <c r="D8" s="297" t="n"/>
      <c r="E8" s="297" t="n"/>
      <c r="F8" s="297" t="n"/>
      <c r="G8" s="297" t="n"/>
      <c r="H8" s="297" t="n"/>
      <c r="I8" s="298" t="n"/>
      <c r="J8" s="4" t="inlineStr">
        <is>
          <t>DIAS ÚTEIS:</t>
        </is>
      </c>
      <c r="K8" s="5" t="n"/>
      <c r="L8" s="304">
        <f>COUNTIF(A14:A43,"U")</f>
        <v/>
      </c>
      <c r="M8" s="305" t="n"/>
      <c r="N8" s="306" t="n"/>
    </row>
    <row r="9" ht="16.5" customHeight="1">
      <c r="A9" s="2" t="inlineStr">
        <is>
          <t>EMPRESA:</t>
        </is>
      </c>
      <c r="B9" s="3" t="n"/>
      <c r="C9" s="129">
        <f>JAN!C9:I9</f>
        <v/>
      </c>
      <c r="D9" s="297" t="n"/>
      <c r="E9" s="297" t="n"/>
      <c r="F9" s="297" t="n"/>
      <c r="G9" s="297" t="n"/>
      <c r="H9" s="297" t="n"/>
      <c r="I9" s="298" t="n"/>
      <c r="J9" s="4" t="inlineStr">
        <is>
          <t>CNPJ:</t>
        </is>
      </c>
      <c r="K9" s="307">
        <f>JAN!K9:L9</f>
        <v/>
      </c>
      <c r="L9" s="296" t="n"/>
      <c r="M9" s="38" t="inlineStr">
        <is>
          <t>EXERCÍCIO:</t>
        </is>
      </c>
      <c r="N9" s="42" t="n">
        <v>2021</v>
      </c>
      <c r="P9" t="inlineStr">
        <is>
          <t>U: DIA ÚTIL</t>
        </is>
      </c>
    </row>
    <row r="10" ht="16.5" customHeight="1">
      <c r="A10" s="2" t="inlineStr">
        <is>
          <t>LOCALIZAÇÃO:</t>
        </is>
      </c>
      <c r="B10" s="3" t="n"/>
      <c r="C10" s="203">
        <f>JAN!C10:I10</f>
        <v/>
      </c>
      <c r="D10" s="297" t="n"/>
      <c r="E10" s="297" t="n"/>
      <c r="F10" s="297" t="n"/>
      <c r="G10" s="297" t="n"/>
      <c r="H10" s="297" t="n"/>
      <c r="I10" s="298" t="n"/>
      <c r="J10" s="395" t="inlineStr">
        <is>
          <t>NÚMERO FUNCIONAL:</t>
        </is>
      </c>
      <c r="K10" s="296" t="n"/>
      <c r="L10" s="43">
        <f>JAN!L10</f>
        <v/>
      </c>
      <c r="M10" s="37" t="inlineStr">
        <is>
          <t>VÍNCULO:</t>
        </is>
      </c>
      <c r="N10" s="44">
        <f>JAN!N10</f>
        <v/>
      </c>
      <c r="P10" t="inlineStr">
        <is>
          <t>F: SÁBADOS; DOMINGOS E FERIADOS</t>
        </is>
      </c>
    </row>
    <row r="11" ht="16.5" customHeight="1" thickBot="1">
      <c r="A11" s="309" t="inlineStr">
        <is>
          <t>REGIME JURÍDICO:</t>
        </is>
      </c>
      <c r="B11" s="310" t="n"/>
      <c r="C11" s="311">
        <f>JAN!C11:E11</f>
        <v/>
      </c>
      <c r="D11" s="312" t="n"/>
      <c r="E11" s="313" t="n"/>
      <c r="F11" s="314" t="inlineStr">
        <is>
          <t>ÓRGÃO DE EXERCÍCIO:</t>
        </is>
      </c>
      <c r="G11" s="315" t="n"/>
      <c r="H11" s="310" t="n"/>
      <c r="I11" s="316" t="inlineStr">
        <is>
          <t>Secretaria de Estado da Educação</t>
        </is>
      </c>
      <c r="J11" s="312" t="n"/>
      <c r="K11" s="312" t="n"/>
      <c r="L11" s="312" t="n"/>
      <c r="M11" s="312" t="n"/>
      <c r="N11" s="317" t="n"/>
    </row>
    <row r="12" ht="39" customHeight="1" thickBot="1">
      <c r="A12" s="168" t="inlineStr">
        <is>
          <t>DIAS DA SEMANA</t>
        </is>
      </c>
      <c r="E12" s="287" t="n"/>
      <c r="F12" s="170" t="inlineStr">
        <is>
          <t>1º TURNO</t>
        </is>
      </c>
      <c r="G12" s="318" t="n"/>
      <c r="H12" s="170" t="inlineStr">
        <is>
          <t>2º TURNO</t>
        </is>
      </c>
      <c r="I12" s="318" t="n"/>
      <c r="J12" s="170" t="inlineStr">
        <is>
          <t>3º TURNO</t>
        </is>
      </c>
      <c r="K12" s="318" t="n"/>
      <c r="L12" s="6" t="inlineStr">
        <is>
          <t xml:space="preserve">HORAS TRABALHADAS </t>
        </is>
      </c>
      <c r="M12" s="6" t="inlineStr">
        <is>
          <t>CH PADRÃO</t>
        </is>
      </c>
      <c r="N12" s="6" t="inlineStr">
        <is>
          <t xml:space="preserve">SALDO </t>
        </is>
      </c>
      <c r="O12" s="47" t="n"/>
      <c r="P12" s="173" t="inlineStr">
        <is>
          <t>saldo acumulado até hoje</t>
        </is>
      </c>
      <c r="Q12" s="47" t="n"/>
      <c r="R12" s="319">
        <f>SUM(U14:U44)+SUM(FEV!U44)+SUM(MAR!U14:U44)+SUM(ABR!U14:U44)+SUM(MAIO!U14:U44)+SUM(JUN!U14:U44)+SUM(JUL!U14:U44)+SUM(AGO!U14:U44)+SUM(SET!U14:U44)+SUM(OUT!U14:U44)+SUM(NOV!U14:U44)+SUM(DEZ!U14:U44)</f>
        <v/>
      </c>
      <c r="S12" s="320" t="n"/>
      <c r="U12" s="66">
        <f>TODAY()</f>
        <v/>
      </c>
    </row>
    <row r="13" ht="26.25" customHeight="1" thickBot="1">
      <c r="A13" s="321" t="n"/>
      <c r="B13" s="322" t="n"/>
      <c r="C13" s="322" t="n"/>
      <c r="D13" s="322" t="n"/>
      <c r="E13" s="318" t="n"/>
      <c r="F13" s="7" t="inlineStr">
        <is>
          <t>ENTRADA MANHÃ</t>
        </is>
      </c>
      <c r="G13" s="7" t="inlineStr">
        <is>
          <t>SAÍDA MANHÃ</t>
        </is>
      </c>
      <c r="H13" s="7" t="inlineStr">
        <is>
          <t>ENTRADA TARDE</t>
        </is>
      </c>
      <c r="I13" s="7" t="inlineStr">
        <is>
          <t>SAÍDA DA TARDE</t>
        </is>
      </c>
      <c r="J13" s="7" t="inlineStr">
        <is>
          <t>ENTRADA EXTRA</t>
        </is>
      </c>
      <c r="K13" s="7" t="inlineStr">
        <is>
          <t>SAÍDA EXTRA</t>
        </is>
      </c>
      <c r="L13" s="8" t="inlineStr">
        <is>
          <t>POR DIA</t>
        </is>
      </c>
      <c r="M13" s="8" t="inlineStr">
        <is>
          <t>DIÁRIA</t>
        </is>
      </c>
      <c r="N13" s="8" t="inlineStr">
        <is>
          <t>DIÁRIO</t>
        </is>
      </c>
      <c r="O13" s="47" t="n"/>
    </row>
    <row r="14" ht="16.5" customHeight="1" thickBot="1">
      <c r="A14" s="17">
        <f>IF(OR(C14=2,C14=8),"F","U")</f>
        <v/>
      </c>
      <c r="B14" s="45">
        <f>K6</f>
        <v/>
      </c>
      <c r="C14" s="390">
        <f>WEEKDAY(B14)+1</f>
        <v/>
      </c>
      <c r="D14" s="351" t="n"/>
      <c r="E14" s="291" t="n"/>
      <c r="F14" s="402" t="n">
        <v>0</v>
      </c>
      <c r="G14" s="372" t="n">
        <v>0</v>
      </c>
      <c r="H14" s="372" t="n">
        <v>0</v>
      </c>
      <c r="I14" s="373" t="n">
        <v>0</v>
      </c>
      <c r="J14" s="374" t="n"/>
      <c r="K14" s="328" t="n"/>
      <c r="L14" s="329">
        <f>IF(A14="U",(G14-F14)+(I14-H14)+(K14-J14),"NÃO ÚTIL")</f>
        <v/>
      </c>
      <c r="M14" s="330" t="n">
        <v>0</v>
      </c>
      <c r="N14" s="331">
        <f>IF(A14="U",(L14-M14),"NÃO ÚTIL")</f>
        <v/>
      </c>
      <c r="O14" s="47" t="n"/>
      <c r="P14" s="332">
        <f>IF(N14="não útil",0,N14)</f>
        <v/>
      </c>
      <c r="Q14" s="332">
        <f>P14</f>
        <v/>
      </c>
      <c r="R14" s="332">
        <f>Q14+$Q$4</f>
        <v/>
      </c>
      <c r="S14" s="47">
        <f>IF(B14=T14,"HOJE",".")</f>
        <v/>
      </c>
      <c r="T14" s="62">
        <f>TODAY()</f>
        <v/>
      </c>
      <c r="U14" s="332">
        <f>IF(S14="HOJE",R14,0)</f>
        <v/>
      </c>
      <c r="V14" s="47" t="n"/>
    </row>
    <row r="15" ht="16.5" customHeight="1" thickBot="1">
      <c r="A15" s="17" t="inlineStr">
        <is>
          <t>F</t>
        </is>
      </c>
      <c r="B15" s="46">
        <f>B14+1</f>
        <v/>
      </c>
      <c r="C15" s="400">
        <f>WEEKDAY(B15)+1</f>
        <v/>
      </c>
      <c r="D15" s="305" t="n"/>
      <c r="E15" s="296" t="n"/>
      <c r="F15" s="402" t="n">
        <v>0</v>
      </c>
      <c r="G15" s="372" t="n">
        <v>0</v>
      </c>
      <c r="H15" s="372" t="n">
        <v>0</v>
      </c>
      <c r="I15" s="373" t="n">
        <v>0</v>
      </c>
      <c r="J15" s="409" t="n"/>
      <c r="K15" s="336" t="n"/>
      <c r="L15" s="329">
        <f>IF(A15="U",(G15-F15)+(I15-H15)+(K15-J15),"NÃO ÚTIL")</f>
        <v/>
      </c>
      <c r="M15" s="330">
        <f>IF(A15="U",L7,"NÃO ÚTIL")</f>
        <v/>
      </c>
      <c r="N15" s="331">
        <f>IF(A15="U",(L15-M15),"NÃO ÚTIL")</f>
        <v/>
      </c>
      <c r="O15" s="337" t="n"/>
      <c r="P15" s="332">
        <f>IF(N15="não útil",0,N15)</f>
        <v/>
      </c>
      <c r="Q15" s="337">
        <f>P15+Q14</f>
        <v/>
      </c>
      <c r="R15" s="332">
        <f>Q15+$Q$4</f>
        <v/>
      </c>
      <c r="S15" s="47">
        <f>IF(B15=T15,"HOJE",".")</f>
        <v/>
      </c>
      <c r="T15" s="62">
        <f>TODAY()</f>
        <v/>
      </c>
      <c r="U15" s="332">
        <f>IF(S15="HOJE",R15,0)</f>
        <v/>
      </c>
      <c r="V15" s="47" t="n"/>
    </row>
    <row r="16" ht="16.5" customHeight="1" thickBot="1">
      <c r="A16" s="17">
        <f>IF(OR(C16=2,C16=8),"F","U")</f>
        <v/>
      </c>
      <c r="B16" s="46">
        <f>B15+1</f>
        <v/>
      </c>
      <c r="C16" s="393">
        <f>WEEKDAY(B16)+1</f>
        <v/>
      </c>
      <c r="D16" s="305" t="n"/>
      <c r="E16" s="296" t="n"/>
      <c r="F16" s="371" t="n">
        <v>0</v>
      </c>
      <c r="G16" s="372" t="n">
        <v>0</v>
      </c>
      <c r="H16" s="372" t="n">
        <v>0</v>
      </c>
      <c r="I16" s="373" t="n">
        <v>0</v>
      </c>
      <c r="J16" s="377" t="n"/>
      <c r="K16" s="339" t="n"/>
      <c r="L16" s="329">
        <f>IF(A16="U",(G16-F16)+(I16-H16)+(K16-J16),"NÃO ÚTIL")</f>
        <v/>
      </c>
      <c r="M16" s="330">
        <f>IF(A16="U",L7,"NÃO ÚTIL")</f>
        <v/>
      </c>
      <c r="N16" s="331">
        <f>IF(A16="U",(L16-M16),"NÃO ÚTIL")</f>
        <v/>
      </c>
      <c r="O16" s="337" t="n"/>
      <c r="P16" s="332">
        <f>IF(N16="não útil",0,N16)</f>
        <v/>
      </c>
      <c r="Q16" s="337">
        <f>P16+Q15</f>
        <v/>
      </c>
      <c r="R16" s="332">
        <f>Q16+$Q$4</f>
        <v/>
      </c>
      <c r="S16" s="47">
        <f>IF(B16=T16,"HOJE",".")</f>
        <v/>
      </c>
      <c r="T16" s="62">
        <f>TODAY()</f>
        <v/>
      </c>
      <c r="U16" s="332">
        <f>IF(S16="HOJE",R16,0)</f>
        <v/>
      </c>
      <c r="V16" s="47" t="n"/>
    </row>
    <row r="17" ht="16.5" customHeight="1" thickBot="1">
      <c r="A17" s="17">
        <f>IF(OR(C17=2,C17=8),"F","U")</f>
        <v/>
      </c>
      <c r="B17" s="46">
        <f>B16+1</f>
        <v/>
      </c>
      <c r="C17" s="393">
        <f>WEEKDAY(B17)+1</f>
        <v/>
      </c>
      <c r="D17" s="305" t="n"/>
      <c r="E17" s="296" t="n"/>
      <c r="F17" s="371" t="n">
        <v>0</v>
      </c>
      <c r="G17" s="372" t="n">
        <v>0</v>
      </c>
      <c r="H17" s="372" t="n">
        <v>0</v>
      </c>
      <c r="I17" s="373" t="n">
        <v>0</v>
      </c>
      <c r="J17" s="378" t="n"/>
      <c r="K17" s="341" t="n"/>
      <c r="L17" s="329">
        <f>IF(A17="U",(G17-F17)+(I17-H17)+(K17-J17),"NÃO ÚTIL")</f>
        <v/>
      </c>
      <c r="M17" s="330">
        <f>IF(A17="U",L7,"NÃO ÚTIL")</f>
        <v/>
      </c>
      <c r="N17" s="331">
        <f>IF(A17="U",(L17-M17),"NÃO ÚTIL")</f>
        <v/>
      </c>
      <c r="O17" s="47" t="n"/>
      <c r="P17" s="332">
        <f>IF(N17="não útil",0,N17)</f>
        <v/>
      </c>
      <c r="Q17" s="337">
        <f>P17+Q16</f>
        <v/>
      </c>
      <c r="R17" s="332">
        <f>Q17+$Q$4</f>
        <v/>
      </c>
      <c r="S17" s="47">
        <f>IF(B17=T17,"HOJE",".")</f>
        <v/>
      </c>
      <c r="T17" s="62">
        <f>TODAY()</f>
        <v/>
      </c>
      <c r="U17" s="332">
        <f>IF(S17="HOJE",R17,0)</f>
        <v/>
      </c>
      <c r="V17" s="47" t="n"/>
    </row>
    <row r="18" ht="16.5" customHeight="1" thickBot="1">
      <c r="A18" s="17">
        <f>IF(OR(C18=2,C18=8),"F","U")</f>
        <v/>
      </c>
      <c r="B18" s="46">
        <f>B17+1</f>
        <v/>
      </c>
      <c r="C18" s="393">
        <f>WEEKDAY(B18)+1</f>
        <v/>
      </c>
      <c r="D18" s="305" t="n"/>
      <c r="E18" s="296" t="n"/>
      <c r="F18" s="402" t="n">
        <v>0</v>
      </c>
      <c r="G18" s="372" t="n">
        <v>0</v>
      </c>
      <c r="H18" s="372" t="n">
        <v>0</v>
      </c>
      <c r="I18" s="373" t="n">
        <v>0</v>
      </c>
      <c r="J18" s="377" t="n"/>
      <c r="K18" s="339" t="n"/>
      <c r="L18" s="329">
        <f>IF(A18="U",(G18-F18)+(I18-H18)+(K18-J18),"NÃO ÚTIL")</f>
        <v/>
      </c>
      <c r="M18" s="330">
        <f>IF(A18="U",L7,"NÃO ÚTIL")</f>
        <v/>
      </c>
      <c r="N18" s="331">
        <f>IF(A18="U",(L18-M18),"NÃO ÚTIL")</f>
        <v/>
      </c>
      <c r="O18" s="47" t="n"/>
      <c r="P18" s="332">
        <f>IF(N18="não útil",0,N18)</f>
        <v/>
      </c>
      <c r="Q18" s="337">
        <f>P18+Q17</f>
        <v/>
      </c>
      <c r="R18" s="332">
        <f>Q18+$Q$4</f>
        <v/>
      </c>
      <c r="S18" s="47">
        <f>IF(B18=T18,"HOJE",".")</f>
        <v/>
      </c>
      <c r="T18" s="62">
        <f>TODAY()</f>
        <v/>
      </c>
      <c r="U18" s="332">
        <f>IF(S18="HOJE",R18,0)</f>
        <v/>
      </c>
      <c r="V18" s="47" t="n"/>
    </row>
    <row r="19" ht="16.5" customHeight="1" thickBot="1">
      <c r="A19" s="17">
        <f>IF(OR(C19=2,C19=8),"F","U")</f>
        <v/>
      </c>
      <c r="B19" s="46">
        <f>B18+1</f>
        <v/>
      </c>
      <c r="C19" s="393">
        <f>WEEKDAY(B19)+1</f>
        <v/>
      </c>
      <c r="D19" s="305" t="n"/>
      <c r="E19" s="296" t="n"/>
      <c r="F19" s="402" t="n">
        <v>0</v>
      </c>
      <c r="G19" s="372" t="n">
        <v>0</v>
      </c>
      <c r="H19" s="372" t="n">
        <v>0</v>
      </c>
      <c r="I19" s="373" t="n">
        <v>0</v>
      </c>
      <c r="J19" s="376" t="n"/>
      <c r="K19" s="336" t="n"/>
      <c r="L19" s="329">
        <f>IF(A19="U",(G19-F19)+(I19-H19)+(K19-J19),"NÃO ÚTIL")</f>
        <v/>
      </c>
      <c r="M19" s="330">
        <f>IF(A19="U",L7,"NÃO ÚTIL")</f>
        <v/>
      </c>
      <c r="N19" s="331">
        <f>IF(A19="U",(L19-M19),"NÃO ÚTIL")</f>
        <v/>
      </c>
      <c r="O19" s="47" t="n"/>
      <c r="P19" s="332">
        <f>IF(N19="não útil",0,N19)</f>
        <v/>
      </c>
      <c r="Q19" s="337">
        <f>P19+Q18</f>
        <v/>
      </c>
      <c r="R19" s="332">
        <f>Q19+$Q$4</f>
        <v/>
      </c>
      <c r="S19" s="47">
        <f>IF(B19=T19,"HOJE",".")</f>
        <v/>
      </c>
      <c r="T19" s="62">
        <f>TODAY()</f>
        <v/>
      </c>
      <c r="U19" s="332">
        <f>IF(S19="HOJE",R19,0)</f>
        <v/>
      </c>
      <c r="V19" s="47" t="n"/>
    </row>
    <row r="20" ht="16.5" customHeight="1" thickBot="1">
      <c r="A20" s="17">
        <f>IF(OR(C20=2,C20=8),"F","U")</f>
        <v/>
      </c>
      <c r="B20" s="46">
        <f>B19+1</f>
        <v/>
      </c>
      <c r="C20" s="393">
        <f>WEEKDAY(B20)+1</f>
        <v/>
      </c>
      <c r="D20" s="305" t="n"/>
      <c r="E20" s="296" t="n"/>
      <c r="F20" s="402" t="n">
        <v>0</v>
      </c>
      <c r="G20" s="372" t="n">
        <v>0</v>
      </c>
      <c r="H20" s="372" t="n">
        <v>0</v>
      </c>
      <c r="I20" s="373" t="n">
        <v>0</v>
      </c>
      <c r="J20" s="376" t="n"/>
      <c r="K20" s="336" t="n"/>
      <c r="L20" s="329">
        <f>IF(A20="U",(G20-F20)+(I20-H20)+(K20-J20),"NÃO ÚTIL")</f>
        <v/>
      </c>
      <c r="M20" s="330">
        <f>IF(A20="U",L7,"NÃO ÚTIL")</f>
        <v/>
      </c>
      <c r="N20" s="331">
        <f>IF(A20="U",(L20-M20),"NÃO ÚTIL")</f>
        <v/>
      </c>
      <c r="O20" s="47" t="n"/>
      <c r="P20" s="332">
        <f>IF(N20="não útil",0,N20)</f>
        <v/>
      </c>
      <c r="Q20" s="337">
        <f>P20+Q19</f>
        <v/>
      </c>
      <c r="R20" s="332">
        <f>Q20+$Q$4</f>
        <v/>
      </c>
      <c r="S20" s="47">
        <f>IF(B20=T20,"HOJE",".")</f>
        <v/>
      </c>
      <c r="T20" s="62">
        <f>TODAY()</f>
        <v/>
      </c>
      <c r="U20" s="332">
        <f>IF(S20="HOJE",R20,0)</f>
        <v/>
      </c>
      <c r="V20" s="47" t="n"/>
    </row>
    <row r="21" ht="16.5" customHeight="1" thickBot="1">
      <c r="A21" s="17">
        <f>IF(OR(C21=2,C21=8),"F","U")</f>
        <v/>
      </c>
      <c r="B21" s="46">
        <f>B20+1</f>
        <v/>
      </c>
      <c r="C21" s="393">
        <f>WEEKDAY(B21)+1</f>
        <v/>
      </c>
      <c r="D21" s="305" t="n"/>
      <c r="E21" s="296" t="n"/>
      <c r="F21" s="402" t="n">
        <v>0</v>
      </c>
      <c r="G21" s="372" t="n">
        <v>0</v>
      </c>
      <c r="H21" s="372" t="n">
        <v>0</v>
      </c>
      <c r="I21" s="373" t="n">
        <v>0</v>
      </c>
      <c r="J21" s="378" t="n"/>
      <c r="K21" s="341" t="n"/>
      <c r="L21" s="329">
        <f>IF(A21="U",(G21-F21)+(I21-H21)+(K21-J21),"NÃO ÚTIL")</f>
        <v/>
      </c>
      <c r="M21" s="330">
        <f>IF(A21="U",L7,"NÃO ÚTIL")</f>
        <v/>
      </c>
      <c r="N21" s="331">
        <f>IF(A21="U",(L21-M21),"NÃO ÚTIL")</f>
        <v/>
      </c>
      <c r="O21" s="47" t="n"/>
      <c r="P21" s="332">
        <f>IF(N21="não útil",0,N21)</f>
        <v/>
      </c>
      <c r="Q21" s="337">
        <f>P21+Q20</f>
        <v/>
      </c>
      <c r="R21" s="332">
        <f>Q21+$Q$4</f>
        <v/>
      </c>
      <c r="S21" s="47">
        <f>IF(B21=T21,"HOJE",".")</f>
        <v/>
      </c>
      <c r="T21" s="62">
        <f>TODAY()</f>
        <v/>
      </c>
      <c r="U21" s="332">
        <f>IF(S21="HOJE",R21,0)</f>
        <v/>
      </c>
      <c r="V21" s="47" t="n"/>
    </row>
    <row r="22" ht="16.5" customHeight="1" thickBot="1">
      <c r="A22" s="17">
        <f>IF(OR(C22=2,C22=8),"F","U")</f>
        <v/>
      </c>
      <c r="B22" s="46">
        <f>B21+1</f>
        <v/>
      </c>
      <c r="C22" s="393">
        <f>WEEKDAY(B22)+1</f>
        <v/>
      </c>
      <c r="D22" s="305" t="n"/>
      <c r="E22" s="296" t="n"/>
      <c r="F22" s="402" t="n">
        <v>0</v>
      </c>
      <c r="G22" s="372" t="n">
        <v>0</v>
      </c>
      <c r="H22" s="372" t="n">
        <v>0</v>
      </c>
      <c r="I22" s="373" t="n">
        <v>0</v>
      </c>
      <c r="J22" s="377" t="n"/>
      <c r="K22" s="339" t="n"/>
      <c r="L22" s="329">
        <f>IF(A22="U",(G22-F22)+(I22-H22)+(K22-J22),"NÃO ÚTIL")</f>
        <v/>
      </c>
      <c r="M22" s="330">
        <f>IF(A22="U",L7,"NÃO ÚTIL")</f>
        <v/>
      </c>
      <c r="N22" s="331">
        <f>IF(A22="U",(L22-M22),"NÃO ÚTIL")</f>
        <v/>
      </c>
      <c r="O22" s="47" t="n"/>
      <c r="P22" s="332">
        <f>IF(N22="não útil",0,N22)</f>
        <v/>
      </c>
      <c r="Q22" s="337">
        <f>P22+Q21</f>
        <v/>
      </c>
      <c r="R22" s="332">
        <f>Q22+$Q$4</f>
        <v/>
      </c>
      <c r="S22" s="47">
        <f>IF(B22=T22,"HOJE",".")</f>
        <v/>
      </c>
      <c r="T22" s="62">
        <f>TODAY()</f>
        <v/>
      </c>
      <c r="U22" s="332">
        <f>IF(S22="HOJE",R22,0)</f>
        <v/>
      </c>
      <c r="V22" s="47" t="n"/>
    </row>
    <row r="23" ht="16.5" customHeight="1" thickBot="1">
      <c r="A23" s="17">
        <f>IF(OR(C23=2,C23=8),"F","U")</f>
        <v/>
      </c>
      <c r="B23" s="46">
        <f>B22+1</f>
        <v/>
      </c>
      <c r="C23" s="393">
        <f>WEEKDAY(B23)+1</f>
        <v/>
      </c>
      <c r="D23" s="305" t="n"/>
      <c r="E23" s="296" t="n"/>
      <c r="F23" s="402" t="n">
        <v>0</v>
      </c>
      <c r="G23" s="372" t="n">
        <v>0</v>
      </c>
      <c r="H23" s="372" t="n">
        <v>0</v>
      </c>
      <c r="I23" s="373" t="n">
        <v>0</v>
      </c>
      <c r="J23" s="376" t="n"/>
      <c r="K23" s="336" t="n"/>
      <c r="L23" s="329">
        <f>IF(A23="U",(G23-F23)+(I23-H23)+(K23-J23),"NÃO ÚTIL")</f>
        <v/>
      </c>
      <c r="M23" s="330">
        <f>IF(A23="U",L7,"NÃO ÚTIL")</f>
        <v/>
      </c>
      <c r="N23" s="331">
        <f>IF(A23="U",(L23-M23),"NÃO ÚTIL")</f>
        <v/>
      </c>
      <c r="O23" s="47" t="n"/>
      <c r="P23" s="332">
        <f>IF(N23="não útil",0,N23)</f>
        <v/>
      </c>
      <c r="Q23" s="337">
        <f>P23+Q22</f>
        <v/>
      </c>
      <c r="R23" s="332">
        <f>Q23+$Q$4</f>
        <v/>
      </c>
      <c r="S23" s="47">
        <f>IF(B23=T23,"HOJE",".")</f>
        <v/>
      </c>
      <c r="T23" s="62">
        <f>TODAY()</f>
        <v/>
      </c>
      <c r="U23" s="332">
        <f>IF(S23="HOJE",R23,0)</f>
        <v/>
      </c>
      <c r="V23" s="47" t="n"/>
    </row>
    <row r="24" ht="16.5" customHeight="1" thickBot="1">
      <c r="A24" s="17">
        <f>IF(OR(C24=2,C24=8),"F","U")</f>
        <v/>
      </c>
      <c r="B24" s="46">
        <f>B23+1</f>
        <v/>
      </c>
      <c r="C24" s="393">
        <f>WEEKDAY(B24)+1</f>
        <v/>
      </c>
      <c r="D24" s="305" t="n"/>
      <c r="E24" s="296" t="n"/>
      <c r="F24" s="402" t="n">
        <v>0</v>
      </c>
      <c r="G24" s="372" t="n">
        <v>0</v>
      </c>
      <c r="H24" s="372" t="n">
        <v>0</v>
      </c>
      <c r="I24" s="373" t="n">
        <v>0</v>
      </c>
      <c r="J24" s="410" t="n"/>
      <c r="K24" s="339" t="n"/>
      <c r="L24" s="329">
        <f>IF(A24="U",(G24-F24)+(I24-H24)+(K24-J24),"NÃO ÚTIL")</f>
        <v/>
      </c>
      <c r="M24" s="330">
        <f>IF(A24="U",L7,"NÃO ÚTIL")</f>
        <v/>
      </c>
      <c r="N24" s="331">
        <f>IF(A24="U",(L24-M24),"NÃO ÚTIL")</f>
        <v/>
      </c>
      <c r="O24" s="47" t="n"/>
      <c r="P24" s="332">
        <f>IF(N24="não útil",0,N24)</f>
        <v/>
      </c>
      <c r="Q24" s="337">
        <f>P24+Q23</f>
        <v/>
      </c>
      <c r="R24" s="332">
        <f>Q24+$Q$4</f>
        <v/>
      </c>
      <c r="S24" s="47">
        <f>IF(B24=T24,"HOJE",".")</f>
        <v/>
      </c>
      <c r="T24" s="62">
        <f>TODAY()</f>
        <v/>
      </c>
      <c r="U24" s="332">
        <f>IF(S24="HOJE",R24,0)</f>
        <v/>
      </c>
      <c r="V24" s="47" t="n"/>
    </row>
    <row r="25" ht="16.5" customHeight="1" thickBot="1">
      <c r="A25" s="17">
        <f>IF(OR(C25=2,C25=8),"F","U")</f>
        <v/>
      </c>
      <c r="B25" s="46">
        <f>B24+1</f>
        <v/>
      </c>
      <c r="C25" s="393">
        <f>WEEKDAY(B25)+1</f>
        <v/>
      </c>
      <c r="D25" s="305" t="n"/>
      <c r="E25" s="296" t="n"/>
      <c r="F25" s="402" t="n">
        <v>0</v>
      </c>
      <c r="G25" s="372" t="n">
        <v>0</v>
      </c>
      <c r="H25" s="372" t="n">
        <v>0</v>
      </c>
      <c r="I25" s="373" t="n">
        <v>0</v>
      </c>
      <c r="J25" s="376" t="n"/>
      <c r="K25" s="336" t="n"/>
      <c r="L25" s="329">
        <f>IF(A25="U",(G25-F25)+(I25-H25)+(K25-J25),"NÃO ÚTIL")</f>
        <v/>
      </c>
      <c r="M25" s="330">
        <f>IF(A25="U",L7,"NÃO ÚTIL")</f>
        <v/>
      </c>
      <c r="N25" s="331">
        <f>IF(A25="U",(L25-M25),"NÃO ÚTIL")</f>
        <v/>
      </c>
      <c r="O25" s="47" t="n"/>
      <c r="P25" s="332">
        <f>IF(N25="não útil",0,N25)</f>
        <v/>
      </c>
      <c r="Q25" s="337">
        <f>P25+Q24</f>
        <v/>
      </c>
      <c r="R25" s="332">
        <f>Q25+$Q$4</f>
        <v/>
      </c>
      <c r="S25" s="47">
        <f>IF(B25=T25,"HOJE",".")</f>
        <v/>
      </c>
      <c r="T25" s="62">
        <f>TODAY()</f>
        <v/>
      </c>
      <c r="U25" s="332">
        <f>IF(S25="HOJE",R25,0)</f>
        <v/>
      </c>
      <c r="V25" s="47" t="n"/>
    </row>
    <row r="26" ht="16.5" customHeight="1" thickBot="1">
      <c r="A26" s="17">
        <f>IF(OR(C26=2,C26=8),"F","U")</f>
        <v/>
      </c>
      <c r="B26" s="46">
        <f>B25+1</f>
        <v/>
      </c>
      <c r="C26" s="393">
        <f>WEEKDAY(B26)+1</f>
        <v/>
      </c>
      <c r="D26" s="305" t="n"/>
      <c r="E26" s="296" t="n"/>
      <c r="F26" s="402" t="n">
        <v>0</v>
      </c>
      <c r="G26" s="372" t="n">
        <v>0</v>
      </c>
      <c r="H26" s="372" t="n">
        <v>0</v>
      </c>
      <c r="I26" s="373" t="n">
        <v>0</v>
      </c>
      <c r="J26" s="378" t="n"/>
      <c r="K26" s="341" t="n"/>
      <c r="L26" s="329">
        <f>IF(A26="U",(G26-F26)+(I26-H26)+(K26-J26),"NÃO ÚTIL")</f>
        <v/>
      </c>
      <c r="M26" s="330">
        <f>IF(A26="U",L7,"NÃO ÚTIL")</f>
        <v/>
      </c>
      <c r="N26" s="331">
        <f>IF(A26="U",(L26-M26),"NÃO ÚTIL")</f>
        <v/>
      </c>
      <c r="O26" s="47" t="n"/>
      <c r="P26" s="332">
        <f>IF(N26="não útil",0,N26)</f>
        <v/>
      </c>
      <c r="Q26" s="337">
        <f>P26+Q25</f>
        <v/>
      </c>
      <c r="R26" s="332">
        <f>Q26+$Q$4</f>
        <v/>
      </c>
      <c r="S26" s="47">
        <f>IF(B26=T26,"HOJE",".")</f>
        <v/>
      </c>
      <c r="T26" s="62">
        <f>TODAY()</f>
        <v/>
      </c>
      <c r="U26" s="332">
        <f>IF(S26="HOJE",R26,0)</f>
        <v/>
      </c>
      <c r="V26" s="47" t="n"/>
    </row>
    <row r="27" ht="16.5" customHeight="1" thickBot="1">
      <c r="A27" s="17" t="inlineStr">
        <is>
          <t>F</t>
        </is>
      </c>
      <c r="B27" s="46">
        <f>B26+1</f>
        <v/>
      </c>
      <c r="C27" s="393">
        <f>WEEKDAY(B27)+1</f>
        <v/>
      </c>
      <c r="D27" s="305" t="n"/>
      <c r="E27" s="296" t="n"/>
      <c r="F27" s="402" t="n">
        <v>0</v>
      </c>
      <c r="G27" s="372" t="n">
        <v>0</v>
      </c>
      <c r="H27" s="372" t="n">
        <v>0</v>
      </c>
      <c r="I27" s="373" t="n">
        <v>0</v>
      </c>
      <c r="J27" s="411" t="n"/>
      <c r="K27" s="339" t="n"/>
      <c r="L27" s="329">
        <f>IF(A27="U",(G27-F27)+(I27-H27)+(K27-J27),"NÃO ÚTIL")</f>
        <v/>
      </c>
      <c r="M27" s="330">
        <f>IF(A27="U",L7,"NÃO ÚTIL")</f>
        <v/>
      </c>
      <c r="N27" s="331">
        <f>IF(A27="U",(L27-M27),"NÃO ÚTIL")</f>
        <v/>
      </c>
      <c r="O27" s="47" t="n"/>
      <c r="P27" s="332">
        <f>IF(N27="não útil",0,N27)</f>
        <v/>
      </c>
      <c r="Q27" s="337">
        <f>P27+Q26</f>
        <v/>
      </c>
      <c r="R27" s="332">
        <f>Q27+$Q$4</f>
        <v/>
      </c>
      <c r="S27" s="47">
        <f>IF(B27=T27,"HOJE",".")</f>
        <v/>
      </c>
      <c r="T27" s="62">
        <f>TODAY()</f>
        <v/>
      </c>
      <c r="U27" s="332">
        <f>IF(S27="HOJE",R27,0)</f>
        <v/>
      </c>
      <c r="V27" s="47" t="n"/>
    </row>
    <row r="28" ht="16.5" customHeight="1" thickBot="1">
      <c r="A28" s="17" t="inlineStr">
        <is>
          <t>F</t>
        </is>
      </c>
      <c r="B28" s="46">
        <f>B27+1</f>
        <v/>
      </c>
      <c r="C28" s="400">
        <f>WEEKDAY(B28)+1</f>
        <v/>
      </c>
      <c r="D28" s="305" t="n"/>
      <c r="E28" s="296" t="n"/>
      <c r="F28" s="402" t="n">
        <v>0</v>
      </c>
      <c r="G28" s="372" t="n">
        <v>0</v>
      </c>
      <c r="H28" s="372" t="n">
        <v>0</v>
      </c>
      <c r="I28" s="373" t="n">
        <v>0</v>
      </c>
      <c r="J28" s="412" t="n"/>
      <c r="K28" s="336" t="n"/>
      <c r="L28" s="329">
        <f>IF(A28="U",(G28-F28)+(I28-H28)+(K28-J28),"NÃO ÚTIL")</f>
        <v/>
      </c>
      <c r="M28" s="330">
        <f>IF(A28="U",L7,"NÃO ÚTIL")</f>
        <v/>
      </c>
      <c r="N28" s="331">
        <f>IF(A28="U",(L28-M28),"NÃO ÚTIL")</f>
        <v/>
      </c>
      <c r="O28" s="47" t="n"/>
      <c r="P28" s="332">
        <f>IF(N28="não útil",0,N28)</f>
        <v/>
      </c>
      <c r="Q28" s="337">
        <f>P28+Q27</f>
        <v/>
      </c>
      <c r="R28" s="332">
        <f>Q28+$Q$4</f>
        <v/>
      </c>
      <c r="S28" s="47">
        <f>IF(B28=T28,"HOJE",".")</f>
        <v/>
      </c>
      <c r="T28" s="62">
        <f>TODAY()</f>
        <v/>
      </c>
      <c r="U28" s="332">
        <f>IF(S28="HOJE",R28,0)</f>
        <v/>
      </c>
      <c r="V28" s="47" t="n"/>
    </row>
    <row r="29" ht="16.5" customHeight="1" thickBot="1">
      <c r="A29" s="17">
        <f>IF(OR(C29=2,C29=8),"F","U")</f>
        <v/>
      </c>
      <c r="B29" s="46">
        <f>B28+1</f>
        <v/>
      </c>
      <c r="C29" s="393">
        <f>WEEKDAY(B29)+1</f>
        <v/>
      </c>
      <c r="D29" s="305" t="n"/>
      <c r="E29" s="296" t="n"/>
      <c r="F29" s="402" t="n">
        <v>0</v>
      </c>
      <c r="G29" s="372" t="n">
        <v>0</v>
      </c>
      <c r="H29" s="372" t="n">
        <v>0</v>
      </c>
      <c r="I29" s="373" t="n">
        <v>0</v>
      </c>
      <c r="J29" s="413" t="n"/>
      <c r="K29" s="341" t="n"/>
      <c r="L29" s="329" t="n">
        <v>0.3333333333333333</v>
      </c>
      <c r="M29" s="330">
        <f>IF(A29="U",L7,"NÃO ÚTIL")</f>
        <v/>
      </c>
      <c r="N29" s="331" t="n">
        <v>0</v>
      </c>
      <c r="O29" s="47" t="n"/>
      <c r="P29" s="332">
        <f>IF(N29="não útil",0,N29)</f>
        <v/>
      </c>
      <c r="Q29" s="337">
        <f>P29+Q28</f>
        <v/>
      </c>
      <c r="R29" s="332">
        <f>Q29+$Q$4</f>
        <v/>
      </c>
      <c r="S29" s="47">
        <f>IF(B29=T29,"HOJE",".")</f>
        <v/>
      </c>
      <c r="T29" s="62">
        <f>TODAY()</f>
        <v/>
      </c>
      <c r="U29" s="332">
        <f>IF(S29="HOJE",R29,0)</f>
        <v/>
      </c>
      <c r="V29" s="47" t="n"/>
    </row>
    <row r="30" ht="16.5" customHeight="1" thickBot="1">
      <c r="A30" s="17">
        <f>IF(OR(C30=2,C30=8),"F","U")</f>
        <v/>
      </c>
      <c r="B30" s="46">
        <f>B29+1</f>
        <v/>
      </c>
      <c r="C30" s="393">
        <f>WEEKDAY(B30)+1</f>
        <v/>
      </c>
      <c r="D30" s="305" t="n"/>
      <c r="E30" s="296" t="n"/>
      <c r="F30" s="402" t="n">
        <v>0</v>
      </c>
      <c r="G30" s="372" t="n">
        <v>0</v>
      </c>
      <c r="H30" s="372" t="n">
        <v>0</v>
      </c>
      <c r="I30" s="373" t="n">
        <v>0</v>
      </c>
      <c r="J30" s="377" t="n"/>
      <c r="K30" s="339" t="n"/>
      <c r="L30" s="329">
        <f>IF(A30="U",(G30-F30)+(I30-H30)+(K30-J30),"NÃO ÚTIL")</f>
        <v/>
      </c>
      <c r="M30" s="330">
        <f>IF(A30="U",L7,"NÃO ÚTIL")</f>
        <v/>
      </c>
      <c r="N30" s="331">
        <f>IF(A30="U",(L30-M30),"NÃO ÚTIL")</f>
        <v/>
      </c>
      <c r="O30" s="47" t="n"/>
      <c r="P30" s="332">
        <f>IF(N30="não útil",0,N30)</f>
        <v/>
      </c>
      <c r="Q30" s="337">
        <f>P30+Q29</f>
        <v/>
      </c>
      <c r="R30" s="332">
        <f>Q30+$Q$4</f>
        <v/>
      </c>
      <c r="S30" s="47">
        <f>IF(B30=T30,"HOJE",".")</f>
        <v/>
      </c>
      <c r="T30" s="62">
        <f>TODAY()</f>
        <v/>
      </c>
      <c r="U30" s="332">
        <f>IF(S30="HOJE",R30,0)</f>
        <v/>
      </c>
      <c r="V30" s="47" t="n"/>
    </row>
    <row r="31" ht="16.5" customHeight="1" thickBot="1">
      <c r="A31" s="17">
        <f>IF(OR(C31=2,C31=8),"F","U")</f>
        <v/>
      </c>
      <c r="B31" s="46">
        <f>B30+1</f>
        <v/>
      </c>
      <c r="C31" s="393">
        <f>WEEKDAY(B31)+1</f>
        <v/>
      </c>
      <c r="D31" s="305" t="n"/>
      <c r="E31" s="296" t="n"/>
      <c r="F31" s="402" t="n">
        <v>0</v>
      </c>
      <c r="G31" s="372" t="n">
        <v>0</v>
      </c>
      <c r="H31" s="372" t="n">
        <v>0</v>
      </c>
      <c r="I31" s="373" t="n">
        <v>0</v>
      </c>
      <c r="J31" s="378" t="n"/>
      <c r="K31" s="341" t="n"/>
      <c r="L31" s="329">
        <f>IF(A31="U",(G31-F31)+(I31-H31)+(K31-J31),"NÃO ÚTIL")</f>
        <v/>
      </c>
      <c r="M31" s="330">
        <f>IF(A31="U",L7,"NÃO ÚTIL")</f>
        <v/>
      </c>
      <c r="N31" s="331">
        <f>IF(A31="U",(L31-M31),"NÃO ÚTIL")</f>
        <v/>
      </c>
      <c r="O31" s="47" t="n"/>
      <c r="P31" s="332">
        <f>IF(N31="não útil",0,N31)</f>
        <v/>
      </c>
      <c r="Q31" s="337">
        <f>P31+Q30</f>
        <v/>
      </c>
      <c r="R31" s="332">
        <f>Q31+$Q$4</f>
        <v/>
      </c>
      <c r="S31" s="47">
        <f>IF(B31=T31,"HOJE",".")</f>
        <v/>
      </c>
      <c r="T31" s="62">
        <f>TODAY()</f>
        <v/>
      </c>
      <c r="U31" s="332">
        <f>IF(S31="HOJE",R31,0)</f>
        <v/>
      </c>
      <c r="V31" s="47" t="n"/>
    </row>
    <row r="32" ht="16.5" customHeight="1" thickBot="1">
      <c r="A32" s="17">
        <f>IF(OR(C32=2,C32=8),"F","U")</f>
        <v/>
      </c>
      <c r="B32" s="46">
        <f>B31+1</f>
        <v/>
      </c>
      <c r="C32" s="393">
        <f>WEEKDAY(B32)+1</f>
        <v/>
      </c>
      <c r="D32" s="305" t="n"/>
      <c r="E32" s="296" t="n"/>
      <c r="F32" s="402" t="n">
        <v>0</v>
      </c>
      <c r="G32" s="372" t="n">
        <v>0</v>
      </c>
      <c r="H32" s="372" t="n">
        <v>0</v>
      </c>
      <c r="I32" s="373" t="n">
        <v>0</v>
      </c>
      <c r="J32" s="338" t="n"/>
      <c r="K32" s="339" t="n"/>
      <c r="L32" s="329">
        <f>IF(A32="U",(G32-F32)+(I32-H32)+(K32-J32),"NÃO ÚTIL")</f>
        <v/>
      </c>
      <c r="M32" s="330">
        <f>IF(A32="U",L7,"NÃO ÚTIL")</f>
        <v/>
      </c>
      <c r="N32" s="331">
        <f>IF(A32="U",(L32-M32),"NÃO ÚTIL")</f>
        <v/>
      </c>
      <c r="O32" s="47" t="n"/>
      <c r="P32" s="332">
        <f>IF(N32="não útil",0,N32)</f>
        <v/>
      </c>
      <c r="Q32" s="337">
        <f>P32+Q31</f>
        <v/>
      </c>
      <c r="R32" s="332">
        <f>Q32+$Q$4</f>
        <v/>
      </c>
      <c r="S32" s="47">
        <f>IF(B32=T32,"HOJE",".")</f>
        <v/>
      </c>
      <c r="T32" s="62">
        <f>TODAY()</f>
        <v/>
      </c>
      <c r="U32" s="332">
        <f>IF(S32="HOJE",R32,0)</f>
        <v/>
      </c>
      <c r="V32" s="47" t="n"/>
    </row>
    <row r="33" ht="16.5" customHeight="1" thickBot="1">
      <c r="A33" s="17">
        <f>IF(OR(C33=2,C33=8),"F","U")</f>
        <v/>
      </c>
      <c r="B33" s="46">
        <f>B32+1</f>
        <v/>
      </c>
      <c r="C33" s="393">
        <f>WEEKDAY(B33)+1</f>
        <v/>
      </c>
      <c r="D33" s="305" t="n"/>
      <c r="E33" s="296" t="n"/>
      <c r="F33" s="402" t="n">
        <v>0</v>
      </c>
      <c r="G33" s="372" t="n">
        <v>0</v>
      </c>
      <c r="H33" s="372" t="n">
        <v>0</v>
      </c>
      <c r="I33" s="373" t="n">
        <v>0</v>
      </c>
      <c r="J33" s="340" t="n"/>
      <c r="K33" s="341" t="n"/>
      <c r="L33" s="329">
        <f>IF(A33="U",(G33-F33)+(I33-H33)+(K33-J33),"NÃO ÚTIL")</f>
        <v/>
      </c>
      <c r="M33" s="330">
        <f>IF(A33="U",L7,"NÃO ÚTIL")</f>
        <v/>
      </c>
      <c r="N33" s="331">
        <f>IF(A33="U",(L33-M33),"NÃO ÚTIL")</f>
        <v/>
      </c>
      <c r="O33" s="47" t="n"/>
      <c r="P33" s="332">
        <f>IF(N33="não útil",0,N33)</f>
        <v/>
      </c>
      <c r="Q33" s="337">
        <f>P33+Q32</f>
        <v/>
      </c>
      <c r="R33" s="332">
        <f>Q33+$Q$4</f>
        <v/>
      </c>
      <c r="S33" s="47">
        <f>IF(B33=T33,"HOJE",".")</f>
        <v/>
      </c>
      <c r="T33" s="62">
        <f>TODAY()</f>
        <v/>
      </c>
      <c r="U33" s="332">
        <f>IF(S33="HOJE",R33,0)</f>
        <v/>
      </c>
      <c r="V33" s="47" t="n"/>
    </row>
    <row r="34" ht="16.5" customHeight="1" thickBot="1">
      <c r="A34" s="17">
        <f>IF(OR(C34=2,C34=8),"F","U")</f>
        <v/>
      </c>
      <c r="B34" s="46">
        <f>B33+1</f>
        <v/>
      </c>
      <c r="C34" s="393">
        <f>WEEKDAY(B34)+1</f>
        <v/>
      </c>
      <c r="D34" s="305" t="n"/>
      <c r="E34" s="296" t="n"/>
      <c r="F34" s="402" t="n">
        <v>0</v>
      </c>
      <c r="G34" s="372" t="n">
        <v>0</v>
      </c>
      <c r="H34" s="372" t="n">
        <v>0</v>
      </c>
      <c r="I34" s="373" t="n">
        <v>0</v>
      </c>
      <c r="J34" s="338" t="n"/>
      <c r="K34" s="345" t="n"/>
      <c r="L34" s="329">
        <f>IF(A34="U",(G34-F34)+(I34-H34)+(K34-J34),"NÃO ÚTIL")</f>
        <v/>
      </c>
      <c r="M34" s="330">
        <f>IF(A34="U",L7,"NÃO ÚTIL")</f>
        <v/>
      </c>
      <c r="N34" s="331">
        <f>IF(A34="U",(L34-M34),"NÃO ÚTIL")</f>
        <v/>
      </c>
      <c r="O34" s="47" t="n"/>
      <c r="P34" s="332">
        <f>IF(N34="não útil",0,N34)</f>
        <v/>
      </c>
      <c r="Q34" s="337">
        <f>P34+Q33</f>
        <v/>
      </c>
      <c r="R34" s="332">
        <f>Q34+$Q$4</f>
        <v/>
      </c>
      <c r="S34" s="47">
        <f>IF(B34=T34,"HOJE",".")</f>
        <v/>
      </c>
      <c r="T34" s="62">
        <f>TODAY()</f>
        <v/>
      </c>
      <c r="U34" s="332">
        <f>IF(S34="HOJE",R34,0)</f>
        <v/>
      </c>
      <c r="V34" s="47" t="n"/>
    </row>
    <row r="35" ht="16.5" customHeight="1" thickBot="1">
      <c r="A35" s="17">
        <f>IF(OR(C35=2,C35=8),"F","U")</f>
        <v/>
      </c>
      <c r="B35" s="46">
        <f>B34+1</f>
        <v/>
      </c>
      <c r="C35" s="393">
        <f>WEEKDAY(B35)+1</f>
        <v/>
      </c>
      <c r="D35" s="305" t="n"/>
      <c r="E35" s="296" t="n"/>
      <c r="F35" s="402" t="n">
        <v>0</v>
      </c>
      <c r="G35" s="372" t="n">
        <v>0</v>
      </c>
      <c r="H35" s="372" t="n">
        <v>0</v>
      </c>
      <c r="I35" s="373" t="n">
        <v>0</v>
      </c>
      <c r="J35" s="338" t="n"/>
      <c r="K35" s="339" t="n"/>
      <c r="L35" s="329">
        <f>IF(A35="U",(G35-F35)+(I35-H35)+(K35-J35),"NÃO ÚTIL")</f>
        <v/>
      </c>
      <c r="M35" s="330">
        <f>IF(A35="U",L7,"NÃO ÚTIL")</f>
        <v/>
      </c>
      <c r="N35" s="331">
        <f>IF(A35="U",(L35-M35),"NÃO ÚTIL")</f>
        <v/>
      </c>
      <c r="O35" s="47" t="n"/>
      <c r="P35" s="332">
        <f>IF(N35="não útil",0,N35)</f>
        <v/>
      </c>
      <c r="Q35" s="337">
        <f>P35+Q34</f>
        <v/>
      </c>
      <c r="R35" s="332">
        <f>Q35+$Q$4</f>
        <v/>
      </c>
      <c r="S35" s="47">
        <f>IF(B35=T35,"HOJE",".")</f>
        <v/>
      </c>
      <c r="T35" s="62">
        <f>TODAY()</f>
        <v/>
      </c>
      <c r="U35" s="332">
        <f>IF(S35="HOJE",R35,0)</f>
        <v/>
      </c>
      <c r="V35" s="47" t="n"/>
    </row>
    <row r="36" ht="16.5" customHeight="1" thickBot="1">
      <c r="A36" s="17">
        <f>IF(OR(C36=2,C36=8),"F","U")</f>
        <v/>
      </c>
      <c r="B36" s="46">
        <f>B35+1</f>
        <v/>
      </c>
      <c r="C36" s="393">
        <f>WEEKDAY(B36)+1</f>
        <v/>
      </c>
      <c r="D36" s="305" t="n"/>
      <c r="E36" s="296" t="n"/>
      <c r="F36" s="402" t="n">
        <v>0</v>
      </c>
      <c r="G36" s="372" t="n">
        <v>0</v>
      </c>
      <c r="H36" s="372" t="n">
        <v>0</v>
      </c>
      <c r="I36" s="373" t="n">
        <v>0</v>
      </c>
      <c r="J36" s="335" t="n"/>
      <c r="K36" s="336" t="n"/>
      <c r="L36" s="329">
        <f>IF(A36="U",(G36-F36)+(I36-H36)+(K36-J36),"NÃO ÚTIL")</f>
        <v/>
      </c>
      <c r="M36" s="330">
        <f>IF(A36="U",L7,"NÃO ÚTIL")</f>
        <v/>
      </c>
      <c r="N36" s="331">
        <f>IF(A36="U",(L36-M36),"NÃO ÚTIL")</f>
        <v/>
      </c>
      <c r="O36" s="47" t="n"/>
      <c r="P36" s="332">
        <f>IF(N36="não útil",0,N36)</f>
        <v/>
      </c>
      <c r="Q36" s="337">
        <f>P36+Q35</f>
        <v/>
      </c>
      <c r="R36" s="332">
        <f>Q36+$Q$4</f>
        <v/>
      </c>
      <c r="S36" s="47">
        <f>IF(B36=T36,"HOJE",".")</f>
        <v/>
      </c>
      <c r="T36" s="62">
        <f>TODAY()</f>
        <v/>
      </c>
      <c r="U36" s="332">
        <f>IF(S36="HOJE",R36,0)</f>
        <v/>
      </c>
      <c r="V36" s="47" t="n"/>
    </row>
    <row r="37" ht="16.5" customHeight="1" thickBot="1">
      <c r="A37" s="17">
        <f>IF(OR(C37=2,C37=8),"F","U")</f>
        <v/>
      </c>
      <c r="B37" s="46">
        <f>B36+1</f>
        <v/>
      </c>
      <c r="C37" s="393">
        <f>WEEKDAY(B37)+1</f>
        <v/>
      </c>
      <c r="D37" s="305" t="n"/>
      <c r="E37" s="296" t="n"/>
      <c r="F37" s="402" t="n">
        <v>0</v>
      </c>
      <c r="G37" s="372" t="n">
        <v>0</v>
      </c>
      <c r="H37" s="372" t="n">
        <v>0</v>
      </c>
      <c r="I37" s="373" t="n">
        <v>0</v>
      </c>
      <c r="J37" s="338" t="n"/>
      <c r="K37" s="345" t="n"/>
      <c r="L37" s="329">
        <f>IF(A37="U",(G37-F37)+(I37-H37)+(K37-J37),"NÃO ÚTIL")</f>
        <v/>
      </c>
      <c r="M37" s="330">
        <f>IF(A37="U",L7,"NÃO ÚTIL")</f>
        <v/>
      </c>
      <c r="N37" s="331">
        <f>IF(A37="U",(L37-M37),"NÃO ÚTIL")</f>
        <v/>
      </c>
      <c r="O37" s="47" t="n"/>
      <c r="P37" s="332">
        <f>IF(N37="não útil",0,N37)</f>
        <v/>
      </c>
      <c r="Q37" s="337">
        <f>P37+Q36</f>
        <v/>
      </c>
      <c r="R37" s="332">
        <f>Q37+$Q$4</f>
        <v/>
      </c>
      <c r="S37" s="47">
        <f>IF(B37=T37,"HOJE",".")</f>
        <v/>
      </c>
      <c r="T37" s="62">
        <f>TODAY()</f>
        <v/>
      </c>
      <c r="U37" s="332">
        <f>IF(S37="HOJE",R37,0)</f>
        <v/>
      </c>
      <c r="V37" s="47" t="n"/>
    </row>
    <row r="38" ht="16.5" customHeight="1" thickBot="1">
      <c r="A38" s="17">
        <f>IF(OR(C38=2,C38=8),"F","U")</f>
        <v/>
      </c>
      <c r="B38" s="46">
        <f>B37+1</f>
        <v/>
      </c>
      <c r="C38" s="393">
        <f>WEEKDAY(B38)+1</f>
        <v/>
      </c>
      <c r="D38" s="305" t="n"/>
      <c r="E38" s="296" t="n"/>
      <c r="F38" s="402" t="n">
        <v>0</v>
      </c>
      <c r="G38" s="372" t="n">
        <v>0</v>
      </c>
      <c r="H38" s="372" t="n">
        <v>0</v>
      </c>
      <c r="I38" s="373" t="n">
        <v>0</v>
      </c>
      <c r="J38" s="340" t="n"/>
      <c r="K38" s="345" t="n"/>
      <c r="L38" s="329">
        <f>IF(A38="U",(G38-F38)+(I38-H38)+(K38-J38),"NÃO ÚTIL")</f>
        <v/>
      </c>
      <c r="M38" s="330">
        <f>IF(A38="U",L7,"NÃO ÚTIL")</f>
        <v/>
      </c>
      <c r="N38" s="331">
        <f>IF(A38="U",(L38-M38),"NÃO ÚTIL")</f>
        <v/>
      </c>
      <c r="O38" s="47" t="n"/>
      <c r="P38" s="332">
        <f>IF(N38="não útil",0,N38)</f>
        <v/>
      </c>
      <c r="Q38" s="337">
        <f>P38+Q37</f>
        <v/>
      </c>
      <c r="R38" s="332">
        <f>Q38+$Q$4</f>
        <v/>
      </c>
      <c r="S38" s="47">
        <f>IF(B38=T38,"HOJE",".")</f>
        <v/>
      </c>
      <c r="T38" s="62">
        <f>TODAY()</f>
        <v/>
      </c>
      <c r="U38" s="332">
        <f>IF(S38="HOJE",R38,0)</f>
        <v/>
      </c>
      <c r="V38" s="47" t="n"/>
    </row>
    <row r="39" ht="16.5" customHeight="1" thickBot="1">
      <c r="A39" s="17">
        <f>IF(OR(C39=2,C39=8),"F","U")</f>
        <v/>
      </c>
      <c r="B39" s="46">
        <f>B38+1</f>
        <v/>
      </c>
      <c r="C39" s="393">
        <f>WEEKDAY(B39)+1</f>
        <v/>
      </c>
      <c r="D39" s="305" t="n"/>
      <c r="E39" s="296" t="n"/>
      <c r="F39" s="402" t="n">
        <v>0</v>
      </c>
      <c r="G39" s="372" t="n">
        <v>0</v>
      </c>
      <c r="H39" s="372" t="n">
        <v>0</v>
      </c>
      <c r="I39" s="373" t="n">
        <v>0</v>
      </c>
      <c r="J39" s="377" t="n"/>
      <c r="K39" s="339" t="n"/>
      <c r="L39" s="329">
        <f>IF(A39="U",(G39-F39)+(I39-H39)+(K39-J39),"NÃO ÚTIL")</f>
        <v/>
      </c>
      <c r="M39" s="330">
        <f>IF(A39="U",L7,"NÃO ÚTIL")</f>
        <v/>
      </c>
      <c r="N39" s="331">
        <f>IF(A39="U",(L39-M39),"NÃO ÚTIL")</f>
        <v/>
      </c>
      <c r="O39" s="47" t="n"/>
      <c r="P39" s="332">
        <f>IF(N39="não útil",0,N39)</f>
        <v/>
      </c>
      <c r="Q39" s="337">
        <f>P39+Q38</f>
        <v/>
      </c>
      <c r="R39" s="332">
        <f>Q39+$Q$4</f>
        <v/>
      </c>
      <c r="S39" s="47">
        <f>IF(B39=T39,"HOJE",".")</f>
        <v/>
      </c>
      <c r="T39" s="62">
        <f>TODAY()</f>
        <v/>
      </c>
      <c r="U39" s="332">
        <f>IF(S39="HOJE",R39,0)</f>
        <v/>
      </c>
      <c r="V39" s="47" t="n"/>
    </row>
    <row r="40" ht="16.5" customHeight="1" thickBot="1">
      <c r="A40" s="17">
        <f>IF(OR(C40=2,C40=8),"F","U")</f>
        <v/>
      </c>
      <c r="B40" s="46">
        <f>B39+1</f>
        <v/>
      </c>
      <c r="C40" s="393">
        <f>WEEKDAY(B40)+1</f>
        <v/>
      </c>
      <c r="D40" s="305" t="n"/>
      <c r="E40" s="296" t="n"/>
      <c r="F40" s="402" t="n">
        <v>0</v>
      </c>
      <c r="G40" s="372" t="n">
        <v>0</v>
      </c>
      <c r="H40" s="372" t="n">
        <v>0</v>
      </c>
      <c r="I40" s="373" t="n">
        <v>0</v>
      </c>
      <c r="J40" s="378" t="n"/>
      <c r="K40" s="341" t="n"/>
      <c r="L40" s="329">
        <f>IF(A40="U",(G40-F40)+(I40-H40)+(K40-J40),"NÃO ÚTIL")</f>
        <v/>
      </c>
      <c r="M40" s="330">
        <f>IF(A40="U",L7,"NÃO ÚTIL")</f>
        <v/>
      </c>
      <c r="N40" s="331">
        <f>IF(A40="U",(L40-M40),"NÃO ÚTIL")</f>
        <v/>
      </c>
      <c r="O40" s="47" t="n"/>
      <c r="P40" s="332">
        <f>IF(N40="não útil",0,N40)</f>
        <v/>
      </c>
      <c r="Q40" s="337">
        <f>P40+Q39</f>
        <v/>
      </c>
      <c r="R40" s="332">
        <f>Q40+$Q$4</f>
        <v/>
      </c>
      <c r="S40" s="47">
        <f>IF(B40=T40,"HOJE",".")</f>
        <v/>
      </c>
      <c r="T40" s="62">
        <f>TODAY()</f>
        <v/>
      </c>
      <c r="U40" s="332">
        <f>IF(S40="HOJE",R40,0)</f>
        <v/>
      </c>
      <c r="V40" s="47" t="n"/>
    </row>
    <row r="41" ht="16.5" customHeight="1" thickBot="1">
      <c r="A41" s="17">
        <f>IF(OR(C41=2,C41=8),"F","U")</f>
        <v/>
      </c>
      <c r="B41" s="46">
        <f>B40+1</f>
        <v/>
      </c>
      <c r="C41" s="393">
        <f>WEEKDAY(B41)+1</f>
        <v/>
      </c>
      <c r="D41" s="305" t="n"/>
      <c r="E41" s="296" t="n"/>
      <c r="F41" s="402" t="n">
        <v>0</v>
      </c>
      <c r="G41" s="372" t="n">
        <v>0</v>
      </c>
      <c r="H41" s="372" t="n">
        <v>0</v>
      </c>
      <c r="I41" s="373" t="n">
        <v>0</v>
      </c>
      <c r="J41" s="377" t="n"/>
      <c r="K41" s="339" t="n"/>
      <c r="L41" s="329">
        <f>IF(A41="U",(G41-F41)+(I41-H41)+(K41-J41),"NÃO ÚTIL")</f>
        <v/>
      </c>
      <c r="M41" s="330">
        <f>IF(A41="U",L7,"NÃO ÚTIL")</f>
        <v/>
      </c>
      <c r="N41" s="331">
        <f>IF(A41="U",(L41-M41),"NÃO ÚTIL")</f>
        <v/>
      </c>
      <c r="O41" s="47" t="n"/>
      <c r="P41" s="332">
        <f>IF(N41="não útil",0,N41)</f>
        <v/>
      </c>
      <c r="Q41" s="337">
        <f>P41+Q40</f>
        <v/>
      </c>
      <c r="R41" s="332">
        <f>Q41+$Q$4</f>
        <v/>
      </c>
      <c r="S41" s="47">
        <f>IF(B41=T41,"HOJE",".")</f>
        <v/>
      </c>
      <c r="T41" s="62">
        <f>TODAY()</f>
        <v/>
      </c>
      <c r="U41" s="332">
        <f>IF(S41="HOJE",R41,0)</f>
        <v/>
      </c>
      <c r="V41" s="47" t="n"/>
    </row>
    <row r="42" ht="16.5" customHeight="1" thickBot="1">
      <c r="A42" s="17">
        <f>IF(OR(C42=2,C42=8),"F","U")</f>
        <v/>
      </c>
      <c r="B42" s="46">
        <f>B41+1</f>
        <v/>
      </c>
      <c r="C42" s="393">
        <f>WEEKDAY(B42)+1</f>
        <v/>
      </c>
      <c r="D42" s="305" t="n"/>
      <c r="E42" s="296" t="n"/>
      <c r="F42" s="402" t="n">
        <v>0</v>
      </c>
      <c r="G42" s="372" t="n">
        <v>0</v>
      </c>
      <c r="H42" s="372" t="n">
        <v>0</v>
      </c>
      <c r="I42" s="373" t="n">
        <v>0</v>
      </c>
      <c r="J42" s="377" t="n"/>
      <c r="K42" s="341" t="n"/>
      <c r="L42" s="329">
        <f>IF(A42="U",(G42-F42)+(I42-H42)+(K42-J42),"NÃO ÚTIL")</f>
        <v/>
      </c>
      <c r="M42" s="330">
        <f>IF(A42="U",L7,"NÃO ÚTIL")</f>
        <v/>
      </c>
      <c r="N42" s="331">
        <f>IF(A42="U",(L42-M42),"NÃO ÚTIL")</f>
        <v/>
      </c>
      <c r="O42" s="47" t="n"/>
      <c r="P42" s="332">
        <f>IF(N42="não útil",0,N42)</f>
        <v/>
      </c>
      <c r="Q42" s="337">
        <f>P42+Q41</f>
        <v/>
      </c>
      <c r="R42" s="332">
        <f>Q42+$Q$4</f>
        <v/>
      </c>
      <c r="S42" s="47">
        <f>IF(B42=T42,"HOJE",".")</f>
        <v/>
      </c>
      <c r="T42" s="62">
        <f>TODAY()</f>
        <v/>
      </c>
      <c r="U42" s="332">
        <f>IF(S42="HOJE",R42,0)</f>
        <v/>
      </c>
      <c r="V42" s="47" t="n"/>
    </row>
    <row r="43" ht="16.5" customHeight="1" thickBot="1">
      <c r="A43" s="17">
        <f>IF(OR(C43=2,C43=8),"F","U")</f>
        <v/>
      </c>
      <c r="B43" s="46">
        <f>B42+1</f>
        <v/>
      </c>
      <c r="C43" s="393">
        <f>WEEKDAY(B43)+1</f>
        <v/>
      </c>
      <c r="D43" s="305" t="n"/>
      <c r="E43" s="296" t="n"/>
      <c r="F43" s="402" t="n">
        <v>0</v>
      </c>
      <c r="G43" s="372" t="n">
        <v>0</v>
      </c>
      <c r="H43" s="372" t="n">
        <v>0</v>
      </c>
      <c r="I43" s="373" t="n">
        <v>0</v>
      </c>
      <c r="J43" s="377" t="n"/>
      <c r="K43" s="339" t="n"/>
      <c r="L43" s="329">
        <f>IF(A43="U",(G43-F43)+(I43-H43)+(K43-J43),"NÃO ÚTIL")</f>
        <v/>
      </c>
      <c r="M43" s="330">
        <f>IF(A43="U",L7,"NÃO ÚTIL")</f>
        <v/>
      </c>
      <c r="N43" s="331">
        <f>IF(A43="U",(L43-M43),"NÃO ÚTIL")</f>
        <v/>
      </c>
      <c r="O43" s="47" t="n"/>
      <c r="P43" s="332">
        <f>IF(N43="não útil",0,N43)</f>
        <v/>
      </c>
      <c r="Q43" s="337">
        <f>P43+Q42</f>
        <v/>
      </c>
      <c r="R43" s="332">
        <f>Q43+$Q$4</f>
        <v/>
      </c>
      <c r="S43" s="47">
        <f>IF(B43=T43,"HOJE",".")</f>
        <v/>
      </c>
      <c r="T43" s="62">
        <f>TODAY()</f>
        <v/>
      </c>
      <c r="U43" s="332">
        <f>IF(S43="HOJE",R43,0)</f>
        <v/>
      </c>
      <c r="V43" s="47" t="n"/>
    </row>
    <row r="44" ht="23.25" customHeight="1" thickBot="1">
      <c r="A44" s="346" t="inlineStr">
        <is>
          <t>TOTAL MÊS:</t>
        </is>
      </c>
      <c r="B44" s="347" t="n"/>
      <c r="C44" s="347" t="n"/>
      <c r="D44" s="347" t="n"/>
      <c r="E44" s="347" t="n"/>
      <c r="F44" s="347" t="n"/>
      <c r="G44" s="347" t="n"/>
      <c r="H44" s="347" t="n"/>
      <c r="I44" s="347" t="n"/>
      <c r="J44" s="347" t="n"/>
      <c r="K44" s="348" t="n"/>
      <c r="L44" s="349">
        <f>SUM(L14:L43)</f>
        <v/>
      </c>
      <c r="M44" s="349">
        <f>SUM(M14:M43)</f>
        <v/>
      </c>
      <c r="N44" s="350">
        <f>SUM(N14:N43)</f>
        <v/>
      </c>
      <c r="O44" s="47" t="n"/>
      <c r="P44" s="332" t="n"/>
      <c r="Q44" s="337" t="n"/>
      <c r="R44" s="332" t="n"/>
      <c r="S44" s="47" t="n"/>
      <c r="T44" s="62" t="n"/>
      <c r="U44" s="332" t="n"/>
      <c r="V44" s="47" t="n"/>
    </row>
    <row r="45" ht="12" customHeight="1" thickBot="1">
      <c r="A45" s="247" t="inlineStr">
        <is>
          <t>OBS:</t>
        </is>
      </c>
      <c r="B45" s="292" t="n"/>
      <c r="C45" s="160" t="n"/>
      <c r="D45" s="292" t="n"/>
      <c r="E45" s="292" t="n"/>
      <c r="F45" s="292" t="n"/>
      <c r="G45" s="292" t="n"/>
      <c r="H45" s="292" t="n"/>
      <c r="I45" s="293" t="n"/>
      <c r="J45" s="161" t="n"/>
      <c r="K45" s="347" t="n"/>
      <c r="L45" s="347" t="n"/>
      <c r="M45" s="347" t="n"/>
      <c r="N45" s="352" t="inlineStr">
        <is>
          <t>HORA (S)</t>
        </is>
      </c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 ht="12" customHeight="1" thickBot="1">
      <c r="A46" s="106" t="n"/>
      <c r="B46" s="297" t="n"/>
      <c r="C46" s="297" t="n"/>
      <c r="D46" s="297" t="n"/>
      <c r="E46" s="297" t="n"/>
      <c r="F46" s="297" t="n"/>
      <c r="G46" s="297" t="n"/>
      <c r="H46" s="297" t="n"/>
      <c r="I46" s="298" t="n"/>
      <c r="J46" s="353" t="inlineStr">
        <is>
          <t>CARGA HORÁRIA TRABAHADA (MÊS)</t>
        </is>
      </c>
      <c r="K46" s="354" t="n"/>
      <c r="L46" s="355" t="n"/>
      <c r="M46" s="356">
        <f>L44</f>
        <v/>
      </c>
      <c r="N46" s="355" t="n"/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 ht="12" customHeight="1" thickBot="1">
      <c r="A47" s="106" t="n"/>
      <c r="B47" s="297" t="n"/>
      <c r="C47" s="297" t="n"/>
      <c r="D47" s="297" t="n"/>
      <c r="E47" s="297" t="n"/>
      <c r="F47" s="297" t="n"/>
      <c r="G47" s="297" t="n"/>
      <c r="H47" s="297" t="n"/>
      <c r="I47" s="298" t="n"/>
      <c r="J47" s="322" t="n"/>
      <c r="K47" s="322" t="n"/>
      <c r="L47" s="318" t="n"/>
      <c r="M47" s="321" t="n"/>
      <c r="N47" s="318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 ht="12" customHeight="1" thickBot="1">
      <c r="A48" s="106" t="n"/>
      <c r="B48" s="297" t="n"/>
      <c r="C48" s="297" t="n"/>
      <c r="D48" s="297" t="n"/>
      <c r="E48" s="297" t="n"/>
      <c r="F48" s="297" t="n"/>
      <c r="G48" s="297" t="n"/>
      <c r="H48" s="297" t="n"/>
      <c r="I48" s="298" t="n"/>
      <c r="J48" s="353" t="inlineStr">
        <is>
          <t>CARGA HORÁRIA PREVISTA (MÊS)</t>
        </is>
      </c>
      <c r="K48" s="354" t="n"/>
      <c r="L48" s="355" t="n"/>
      <c r="M48" s="356">
        <f>M44</f>
        <v/>
      </c>
      <c r="N48" s="355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12" customHeight="1" thickBot="1">
      <c r="A49" s="106" t="n"/>
      <c r="B49" s="297" t="n"/>
      <c r="C49" s="297" t="n"/>
      <c r="D49" s="297" t="n"/>
      <c r="E49" s="297" t="n"/>
      <c r="F49" s="297" t="n"/>
      <c r="G49" s="297" t="n"/>
      <c r="H49" s="297" t="n"/>
      <c r="I49" s="298" t="n"/>
      <c r="J49" s="322" t="n"/>
      <c r="K49" s="322" t="n"/>
      <c r="L49" s="318" t="n"/>
      <c r="M49" s="321" t="n"/>
      <c r="N49" s="318" t="n"/>
      <c r="O49" s="47" t="n"/>
      <c r="P49" s="47" t="n"/>
      <c r="Q49" s="47" t="n"/>
      <c r="R49" s="47" t="n"/>
      <c r="S49" s="47" t="n"/>
      <c r="T49" s="47" t="n"/>
      <c r="U49" s="47" t="n"/>
      <c r="V49" s="47" t="n"/>
    </row>
    <row r="50" ht="12" customHeight="1" thickBot="1">
      <c r="A50" s="106" t="n"/>
      <c r="B50" s="297" t="n"/>
      <c r="C50" s="297" t="n"/>
      <c r="D50" s="297" t="n"/>
      <c r="E50" s="297" t="n"/>
      <c r="F50" s="297" t="n"/>
      <c r="G50" s="297" t="n"/>
      <c r="H50" s="297" t="n"/>
      <c r="I50" s="298" t="n"/>
      <c r="J50" s="357" t="inlineStr">
        <is>
          <t>SALDO CARGA HORÁRIA (MÊS)</t>
        </is>
      </c>
      <c r="K50" s="354" t="n"/>
      <c r="L50" s="355" t="n"/>
      <c r="M50" s="356">
        <f>N44</f>
        <v/>
      </c>
      <c r="N50" s="355" t="n"/>
      <c r="O50" s="47" t="n"/>
      <c r="P50" s="47" t="n"/>
      <c r="Q50" s="47" t="n"/>
      <c r="R50" s="47" t="n"/>
      <c r="S50" s="47" t="n"/>
      <c r="T50" s="47" t="n"/>
      <c r="U50" s="47" t="n"/>
      <c r="V50" s="47" t="n"/>
    </row>
    <row r="51" ht="12" customHeight="1" thickBot="1">
      <c r="A51" s="106" t="n"/>
      <c r="B51" s="297" t="n"/>
      <c r="C51" s="297" t="n"/>
      <c r="D51" s="297" t="n"/>
      <c r="E51" s="297" t="n"/>
      <c r="F51" s="297" t="n"/>
      <c r="G51" s="297" t="n"/>
      <c r="H51" s="297" t="n"/>
      <c r="I51" s="298" t="n"/>
      <c r="J51" s="322" t="n"/>
      <c r="K51" s="322" t="n"/>
      <c r="L51" s="318" t="n"/>
      <c r="M51" s="321" t="n"/>
      <c r="N51" s="318" t="n"/>
      <c r="O51" s="47" t="n"/>
      <c r="P51" s="47" t="n"/>
      <c r="Q51" s="47" t="n"/>
      <c r="R51" s="47" t="n"/>
      <c r="S51" s="47" t="n"/>
      <c r="T51" s="47" t="n"/>
      <c r="U51" s="47" t="n"/>
      <c r="V51" s="47" t="n"/>
    </row>
    <row r="52" ht="12" customHeight="1">
      <c r="A52" s="106" t="n"/>
      <c r="B52" s="297" t="n"/>
      <c r="C52" s="297" t="n"/>
      <c r="D52" s="297" t="n"/>
      <c r="E52" s="297" t="n"/>
      <c r="F52" s="297" t="n"/>
      <c r="G52" s="297" t="n"/>
      <c r="H52" s="297" t="n"/>
      <c r="I52" s="298" t="n"/>
      <c r="J52" s="357" t="inlineStr">
        <is>
          <t>SALDO MÊS ANTERIOR</t>
        </is>
      </c>
      <c r="K52" s="354" t="n"/>
      <c r="L52" s="355" t="n"/>
      <c r="M52" s="356">
        <f>OUT!M55</f>
        <v/>
      </c>
      <c r="N52" s="355" t="n"/>
      <c r="O52" s="47" t="n"/>
      <c r="P52" s="47" t="n"/>
      <c r="Q52" s="47" t="n"/>
      <c r="R52" s="47" t="n"/>
      <c r="S52" s="47" t="n"/>
      <c r="T52" s="47" t="n"/>
      <c r="U52" s="47" t="n"/>
      <c r="V52" s="47" t="n"/>
    </row>
    <row r="53" ht="12" customHeight="1" thickBot="1">
      <c r="A53" s="106" t="n"/>
      <c r="B53" s="297" t="n"/>
      <c r="C53" s="297" t="n"/>
      <c r="D53" s="297" t="n"/>
      <c r="E53" s="297" t="n"/>
      <c r="F53" s="297" t="n"/>
      <c r="G53" s="297" t="n"/>
      <c r="H53" s="297" t="n"/>
      <c r="I53" s="298" t="n"/>
      <c r="J53" s="322" t="n"/>
      <c r="K53" s="322" t="n"/>
      <c r="L53" s="318" t="n"/>
      <c r="M53" s="321" t="n"/>
      <c r="N53" s="318" t="n"/>
      <c r="O53" s="47" t="n"/>
      <c r="P53" s="47" t="n"/>
      <c r="Q53" s="47" t="n"/>
      <c r="R53" s="47" t="n"/>
      <c r="S53" s="47" t="n"/>
      <c r="T53" s="47" t="n"/>
      <c r="U53" s="47" t="n"/>
      <c r="V53" s="47" t="n"/>
    </row>
    <row r="54" ht="12" customHeight="1">
      <c r="A54" s="106" t="n"/>
      <c r="B54" s="297" t="n"/>
      <c r="C54" s="297" t="n"/>
      <c r="D54" s="297" t="n"/>
      <c r="E54" s="297" t="n"/>
      <c r="F54" s="297" t="n"/>
      <c r="G54" s="297" t="n"/>
      <c r="H54" s="297" t="n"/>
      <c r="I54" s="298" t="n"/>
      <c r="J54" s="362" t="inlineStr">
        <is>
          <t>SALDO TOTAL</t>
        </is>
      </c>
      <c r="K54" s="354" t="n"/>
      <c r="L54" s="355" t="n"/>
      <c r="M54" s="356">
        <f>SUM(M50:N53)</f>
        <v/>
      </c>
      <c r="N54" s="355" t="n"/>
      <c r="O54" s="47" t="n"/>
      <c r="P54" s="47" t="n"/>
      <c r="Q54" s="47" t="n"/>
      <c r="R54" s="47" t="n"/>
      <c r="S54" s="47" t="n"/>
      <c r="T54" s="47" t="n"/>
      <c r="U54" s="47" t="n"/>
      <c r="V54" s="47" t="n"/>
    </row>
    <row r="55" ht="12" customHeight="1" thickBot="1">
      <c r="A55" s="106" t="n"/>
      <c r="B55" s="297" t="n"/>
      <c r="C55" s="297" t="n"/>
      <c r="D55" s="297" t="n"/>
      <c r="E55" s="297" t="n"/>
      <c r="F55" s="297" t="n"/>
      <c r="G55" s="297" t="n"/>
      <c r="H55" s="297" t="n"/>
      <c r="I55" s="298" t="n"/>
      <c r="J55" s="322" t="n"/>
      <c r="K55" s="322" t="n"/>
      <c r="L55" s="318" t="n"/>
      <c r="M55" s="321" t="n"/>
      <c r="N55" s="318" t="n"/>
      <c r="O55" s="47" t="n"/>
      <c r="P55" s="47" t="n"/>
      <c r="Q55" s="47" t="n"/>
      <c r="R55" s="47" t="n"/>
      <c r="S55" s="47" t="n"/>
      <c r="T55" s="47" t="n"/>
      <c r="U55" s="47" t="n"/>
      <c r="V55" s="47" t="n"/>
    </row>
    <row r="56" ht="12" customHeight="1" thickBot="1">
      <c r="A56" s="106" t="n"/>
      <c r="B56" s="297" t="n"/>
      <c r="C56" s="297" t="n"/>
      <c r="D56" s="297" t="n"/>
      <c r="E56" s="297" t="n"/>
      <c r="F56" s="297" t="n"/>
      <c r="G56" s="297" t="n"/>
      <c r="H56" s="297" t="n"/>
      <c r="I56" s="298" t="n"/>
      <c r="J56" s="357" t="inlineStr">
        <is>
          <t>SALDO: CREDOR? DEVEDOR?</t>
        </is>
      </c>
      <c r="K56" s="354" t="n"/>
      <c r="L56" s="355" t="n"/>
      <c r="M56" s="363">
        <f>IF(M54&lt;0,"DVEEDOR","CREDOR")</f>
        <v/>
      </c>
      <c r="N56" s="355" t="n"/>
      <c r="O56" s="47" t="n"/>
      <c r="P56" s="47" t="n"/>
      <c r="Q56" s="47" t="n"/>
      <c r="R56" s="47" t="n"/>
      <c r="S56" s="47" t="n"/>
      <c r="T56" s="47" t="n"/>
      <c r="U56" s="47" t="n"/>
      <c r="V56" s="47" t="n"/>
    </row>
    <row r="57" ht="12" customHeight="1" thickBot="1">
      <c r="A57" s="106" t="n"/>
      <c r="B57" s="297" t="n"/>
      <c r="C57" s="297" t="n"/>
      <c r="D57" s="297" t="n"/>
      <c r="E57" s="297" t="n"/>
      <c r="F57" s="297" t="n"/>
      <c r="G57" s="297" t="n"/>
      <c r="H57" s="297" t="n"/>
      <c r="I57" s="298" t="n"/>
      <c r="J57" s="322" t="n"/>
      <c r="K57" s="322" t="n"/>
      <c r="L57" s="318" t="n"/>
      <c r="M57" s="321" t="n"/>
      <c r="N57" s="318" t="n"/>
      <c r="O57" s="47" t="n"/>
      <c r="P57" s="47" t="n"/>
      <c r="Q57" s="47" t="n"/>
      <c r="R57" s="47" t="n"/>
      <c r="S57" s="47" t="n"/>
      <c r="T57" s="47" t="n"/>
      <c r="U57" s="47" t="n"/>
      <c r="V57" s="47" t="n"/>
    </row>
    <row r="58" ht="12" customHeight="1">
      <c r="A58" s="106" t="n"/>
      <c r="B58" s="297" t="n"/>
      <c r="C58" s="297" t="n"/>
      <c r="D58" s="297" t="n"/>
      <c r="E58" s="297" t="n"/>
      <c r="F58" s="297" t="n"/>
      <c r="G58" s="297" t="n"/>
      <c r="H58" s="297" t="n"/>
      <c r="I58" s="298" t="n"/>
      <c r="J58" s="260" t="n"/>
      <c r="K58" s="354" t="n"/>
      <c r="L58" s="355" t="n"/>
      <c r="M58" s="364" t="n"/>
      <c r="N58" s="355" t="n"/>
      <c r="O58" s="47" t="n"/>
      <c r="P58" s="47" t="n"/>
      <c r="Q58" s="47" t="n"/>
      <c r="R58" s="47" t="n"/>
      <c r="S58" s="47" t="n"/>
      <c r="T58" s="47" t="n"/>
      <c r="U58" s="47" t="n"/>
      <c r="V58" s="47" t="n"/>
    </row>
    <row r="59" ht="12" customHeight="1" thickBot="1">
      <c r="A59" s="106" t="n"/>
      <c r="B59" s="297" t="n"/>
      <c r="C59" s="297" t="n"/>
      <c r="D59" s="297" t="n"/>
      <c r="E59" s="297" t="n"/>
      <c r="F59" s="297" t="n"/>
      <c r="G59" s="297" t="n"/>
      <c r="H59" s="297" t="n"/>
      <c r="I59" s="298" t="n"/>
      <c r="J59" s="322" t="n"/>
      <c r="K59" s="322" t="n"/>
      <c r="L59" s="318" t="n"/>
      <c r="M59" s="321" t="n"/>
      <c r="N59" s="318" t="n"/>
      <c r="O59" s="47" t="n"/>
      <c r="P59" s="47" t="n"/>
      <c r="Q59" s="47" t="n"/>
      <c r="R59" s="47" t="n"/>
      <c r="S59" s="47" t="n"/>
      <c r="T59" s="47" t="n"/>
      <c r="U59" s="47" t="n"/>
      <c r="V59" s="47" t="n"/>
    </row>
    <row r="60" ht="12" customHeight="1" thickBot="1">
      <c r="A60" s="116" t="n"/>
      <c r="B60" s="312" t="n"/>
      <c r="C60" s="312" t="n"/>
      <c r="D60" s="312" t="n"/>
      <c r="E60" s="312" t="n"/>
      <c r="F60" s="312" t="n"/>
      <c r="G60" s="312" t="n"/>
      <c r="H60" s="312" t="n"/>
      <c r="I60" s="313" t="n"/>
      <c r="J60" s="111" t="n"/>
      <c r="K60" s="322" t="n"/>
      <c r="L60" s="318" t="n"/>
      <c r="M60" s="394" t="n"/>
      <c r="N60" s="318" t="n"/>
      <c r="O60" s="47" t="n"/>
      <c r="P60" s="47" t="n"/>
      <c r="Q60" s="47" t="n"/>
      <c r="R60" s="47" t="n"/>
      <c r="S60" s="47" t="n"/>
      <c r="T60" s="47" t="n"/>
      <c r="U60" s="47" t="n"/>
      <c r="V60" s="47" t="n"/>
    </row>
    <row r="61" ht="15" customHeight="1">
      <c r="A61" s="51" t="n"/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1" t="n"/>
      <c r="L61" s="104" t="inlineStr">
        <is>
          <t>Colaboração do Tônio</t>
        </is>
      </c>
      <c r="M61" s="354" t="n"/>
      <c r="N61" s="354" t="n"/>
      <c r="O61" s="47" t="n"/>
      <c r="P61" s="47" t="n"/>
      <c r="Q61" s="47" t="n"/>
      <c r="R61" s="47" t="n"/>
      <c r="S61" s="47" t="n"/>
      <c r="T61" s="47" t="n"/>
      <c r="U61" s="47" t="n"/>
      <c r="V61" s="47" t="n"/>
    </row>
    <row r="62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P62" s="47" t="n"/>
      <c r="Q62" s="47" t="n"/>
      <c r="R62" s="47" t="n"/>
      <c r="S62" s="47" t="n"/>
      <c r="T62" s="47" t="n"/>
      <c r="U62" s="47" t="n"/>
      <c r="V62" s="47" t="n"/>
    </row>
  </sheetData>
  <mergeCells count="93">
    <mergeCell ref="A12:E13"/>
    <mergeCell ref="C31:E31"/>
    <mergeCell ref="J10:K10"/>
    <mergeCell ref="C40:E40"/>
    <mergeCell ref="A56:I56"/>
    <mergeCell ref="C21:E21"/>
    <mergeCell ref="M60:N60"/>
    <mergeCell ref="A7:B7"/>
    <mergeCell ref="C23:E23"/>
    <mergeCell ref="A53:I53"/>
    <mergeCell ref="R12:S12"/>
    <mergeCell ref="C45:I45"/>
    <mergeCell ref="C18:E18"/>
    <mergeCell ref="M58:N59"/>
    <mergeCell ref="L61:N61"/>
    <mergeCell ref="C34:E34"/>
    <mergeCell ref="A48:I48"/>
    <mergeCell ref="C42:E42"/>
    <mergeCell ref="J45:M45"/>
    <mergeCell ref="A59:I59"/>
    <mergeCell ref="J54:L55"/>
    <mergeCell ref="C20:E20"/>
    <mergeCell ref="J56:L57"/>
    <mergeCell ref="C25:E25"/>
    <mergeCell ref="M46:N47"/>
    <mergeCell ref="J46:L47"/>
    <mergeCell ref="A46:I46"/>
    <mergeCell ref="C8:I8"/>
    <mergeCell ref="A11:B11"/>
    <mergeCell ref="C22:E22"/>
    <mergeCell ref="A45:B45"/>
    <mergeCell ref="L8:N8"/>
    <mergeCell ref="C39:E39"/>
    <mergeCell ref="C32:E32"/>
    <mergeCell ref="C38:E38"/>
    <mergeCell ref="A52:I52"/>
    <mergeCell ref="A3:N3"/>
    <mergeCell ref="A5:N5"/>
    <mergeCell ref="A8:B8"/>
    <mergeCell ref="C15:E15"/>
    <mergeCell ref="F11:H11"/>
    <mergeCell ref="C24:E24"/>
    <mergeCell ref="H12:I12"/>
    <mergeCell ref="C33:E33"/>
    <mergeCell ref="J12:K12"/>
    <mergeCell ref="A49:I49"/>
    <mergeCell ref="A4:N4"/>
    <mergeCell ref="J60:L60"/>
    <mergeCell ref="C26:E26"/>
    <mergeCell ref="C35:E35"/>
    <mergeCell ref="C16:E16"/>
    <mergeCell ref="K9:L9"/>
    <mergeCell ref="C7:I7"/>
    <mergeCell ref="A55:I55"/>
    <mergeCell ref="K6:N6"/>
    <mergeCell ref="C11:E11"/>
    <mergeCell ref="C36:E36"/>
    <mergeCell ref="A57:I57"/>
    <mergeCell ref="J48:L49"/>
    <mergeCell ref="M56:N57"/>
    <mergeCell ref="C28:E28"/>
    <mergeCell ref="C37:E37"/>
    <mergeCell ref="A2:N2"/>
    <mergeCell ref="C10:I10"/>
    <mergeCell ref="C30:E30"/>
    <mergeCell ref="M48:N49"/>
    <mergeCell ref="C14:E14"/>
    <mergeCell ref="C9:I9"/>
    <mergeCell ref="P12:Q12"/>
    <mergeCell ref="I11:N11"/>
    <mergeCell ref="M54:N55"/>
    <mergeCell ref="J50:L51"/>
    <mergeCell ref="C41:E41"/>
    <mergeCell ref="J58:L59"/>
    <mergeCell ref="J52:L53"/>
    <mergeCell ref="A50:I50"/>
    <mergeCell ref="C43:E43"/>
    <mergeCell ref="A6:B6"/>
    <mergeCell ref="F12:G12"/>
    <mergeCell ref="C27:E27"/>
    <mergeCell ref="A47:I47"/>
    <mergeCell ref="C17:E17"/>
    <mergeCell ref="C6:I6"/>
    <mergeCell ref="M52:N53"/>
    <mergeCell ref="C19:E19"/>
    <mergeCell ref="J7:K7"/>
    <mergeCell ref="M50:N51"/>
    <mergeCell ref="A58:I58"/>
    <mergeCell ref="A51:I51"/>
    <mergeCell ref="A60:I60"/>
    <mergeCell ref="C29:E29"/>
    <mergeCell ref="A44:K44"/>
    <mergeCell ref="A54:I54"/>
  </mergeCells>
  <conditionalFormatting sqref="A14:A43">
    <cfRule type="containsText" priority="40" operator="containsText" dxfId="25" stopIfTrue="1" text="F">
      <formula>NOT(ISERROR(SEARCH("F",A14)))</formula>
    </cfRule>
  </conditionalFormatting>
  <conditionalFormatting sqref="C14:E43">
    <cfRule type="cellIs" priority="38" operator="equal" dxfId="11" stopIfTrue="1">
      <formula>2</formula>
    </cfRule>
    <cfRule type="cellIs" priority="39" operator="equal" dxfId="11" stopIfTrue="1">
      <formula>8</formula>
    </cfRule>
  </conditionalFormatting>
  <conditionalFormatting sqref="L44">
    <cfRule type="cellIs" priority="33" operator="equal" dxfId="10" stopIfTrue="1">
      <formula>0</formula>
    </cfRule>
  </conditionalFormatting>
  <conditionalFormatting sqref="L14:M43">
    <cfRule type="cellIs" priority="35" operator="equal" dxfId="10" stopIfTrue="1">
      <formula>0</formula>
    </cfRule>
  </conditionalFormatting>
  <conditionalFormatting sqref="L14:N44">
    <cfRule type="cellIs" priority="34" operator="greaterThan" dxfId="10" stopIfTrue="1">
      <formula>0</formula>
    </cfRule>
    <cfRule type="cellIs" priority="36" operator="lessThan" dxfId="11" stopIfTrue="1">
      <formula>0</formula>
    </cfRule>
  </conditionalFormatting>
  <conditionalFormatting sqref="M46:N47">
    <cfRule type="cellIs" priority="29" operator="equal" dxfId="10" stopIfTrue="1">
      <formula>0</formula>
    </cfRule>
  </conditionalFormatting>
  <conditionalFormatting sqref="M46:N51 M52 M54 M56:N57 M58">
    <cfRule type="cellIs" priority="31" operator="greaterThan" dxfId="10" stopIfTrue="1">
      <formula>0</formula>
    </cfRule>
    <cfRule type="cellIs" priority="32" operator="lessThan" dxfId="11" stopIfTrue="1">
      <formula>0</formula>
    </cfRule>
  </conditionalFormatting>
  <conditionalFormatting sqref="M50:N51 M52 M54">
    <cfRule type="cellIs" priority="30" operator="equal" dxfId="14" stopIfTrue="1">
      <formula>0</formula>
    </cfRule>
  </conditionalFormatting>
  <conditionalFormatting sqref="M56:N57 M58">
    <cfRule type="cellIs" priority="26" operator="equal" dxfId="13" stopIfTrue="1">
      <formula>0</formula>
    </cfRule>
  </conditionalFormatting>
  <conditionalFormatting sqref="N14:N43">
    <cfRule type="cellIs" priority="37" operator="equal" dxfId="10" stopIfTrue="1">
      <formula>0</formula>
    </cfRule>
  </conditionalFormatting>
  <conditionalFormatting sqref="N14:N44">
    <cfRule type="cellIs" priority="41" operator="equal" dxfId="4" stopIfTrue="1">
      <formula>0</formula>
    </cfRule>
  </conditionalFormatting>
  <pageMargins left="0.1181102362204725" right="0.1181102362204725" top="0.5905511811023623" bottom="0.7874015748031497" header="0.3149606299212598" footer="0.3149606299212598"/>
  <pageSetup orientation="portrait" paperSize="9" scale="80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63"/>
  <sheetViews>
    <sheetView topLeftCell="A37" workbookViewId="0">
      <selection activeCell="I17" sqref="I17"/>
    </sheetView>
  </sheetViews>
  <sheetFormatPr baseColWidth="8" defaultRowHeight="15"/>
  <cols>
    <col width="4" customWidth="1" min="4" max="4"/>
    <col width="11.28515625" customWidth="1" min="16" max="16"/>
    <col width="12.140625" customWidth="1" min="19" max="19"/>
    <col hidden="1" width="12.140625" customWidth="1" min="20" max="20"/>
    <col width="12.140625" customWidth="1" min="21" max="21"/>
  </cols>
  <sheetData>
    <row r="1">
      <c r="A1" s="52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4" t="n"/>
    </row>
    <row r="2" ht="15.75" customHeight="1">
      <c r="A2" s="286" t="inlineStr">
        <is>
          <t>GOVERNO DO ESTADO DO ESPÍRITO SANTO</t>
        </is>
      </c>
      <c r="N2" s="287" t="n"/>
    </row>
    <row r="3" ht="19.5" customHeight="1">
      <c r="A3" s="286" t="inlineStr">
        <is>
          <t>SUPERINTENDÊNCIA REGIONAL DE EDUCAÇÃO DE CARAPINA</t>
        </is>
      </c>
      <c r="N3" s="287" t="n"/>
    </row>
    <row r="4" ht="25.5" customHeight="1">
      <c r="A4" s="288" t="inlineStr">
        <is>
          <t>CARTÃO DE PONTO</t>
        </is>
      </c>
      <c r="N4" s="287" t="n"/>
      <c r="Q4" s="289" t="n">
        <v>0</v>
      </c>
      <c r="R4" t="inlineStr">
        <is>
          <t>saldo anterior</t>
        </is>
      </c>
    </row>
    <row r="5" ht="6.75" customHeight="1" thickBot="1">
      <c r="A5" s="290" t="n"/>
      <c r="N5" s="287" t="n"/>
    </row>
    <row r="6" ht="15.75" customHeight="1">
      <c r="A6" s="186" t="inlineStr">
        <is>
          <t xml:space="preserve">NOME: </t>
        </is>
      </c>
      <c r="B6" s="291" t="n"/>
      <c r="C6" s="188">
        <f>JAN!C6:I6</f>
        <v/>
      </c>
      <c r="D6" s="292" t="n"/>
      <c r="E6" s="292" t="n"/>
      <c r="F6" s="292" t="n"/>
      <c r="G6" s="292" t="n"/>
      <c r="H6" s="292" t="n"/>
      <c r="I6" s="293" t="n"/>
      <c r="J6" s="1" t="inlineStr">
        <is>
          <t>MÊS:</t>
        </is>
      </c>
      <c r="K6" s="294" t="n">
        <v>43799</v>
      </c>
      <c r="L6" s="292" t="n"/>
      <c r="M6" s="292" t="n"/>
      <c r="N6" s="293" t="n"/>
    </row>
    <row r="7">
      <c r="A7" s="295" t="inlineStr">
        <is>
          <t>CARGO:</t>
        </is>
      </c>
      <c r="B7" s="296" t="n"/>
      <c r="C7" s="203">
        <f>JAN!C7:I7</f>
        <v/>
      </c>
      <c r="D7" s="297" t="n"/>
      <c r="E7" s="297" t="n"/>
      <c r="F7" s="297" t="n"/>
      <c r="G7" s="297" t="n"/>
      <c r="H7" s="297" t="n"/>
      <c r="I7" s="298" t="n"/>
      <c r="J7" s="299" t="inlineStr">
        <is>
          <t>CH DIÁRIA:</t>
        </is>
      </c>
      <c r="K7" s="296" t="n"/>
      <c r="L7" s="300">
        <f>JAN!L7</f>
        <v/>
      </c>
      <c r="M7" s="301">
        <f>JAN!M7</f>
        <v/>
      </c>
      <c r="N7" s="302">
        <f>JAN!N7</f>
        <v/>
      </c>
    </row>
    <row r="8" ht="16.5" customHeight="1">
      <c r="A8" s="295" t="inlineStr">
        <is>
          <t>FUNÇÃO:</t>
        </is>
      </c>
      <c r="B8" s="296" t="n"/>
      <c r="C8" s="303">
        <f>JAN!C8:I8</f>
        <v/>
      </c>
      <c r="D8" s="297" t="n"/>
      <c r="E8" s="297" t="n"/>
      <c r="F8" s="297" t="n"/>
      <c r="G8" s="297" t="n"/>
      <c r="H8" s="297" t="n"/>
      <c r="I8" s="298" t="n"/>
      <c r="J8" s="4" t="inlineStr">
        <is>
          <t>DIAS ÚTEIS:</t>
        </is>
      </c>
      <c r="K8" s="5" t="n"/>
      <c r="L8" s="304">
        <f>COUNTIF(A14:A43,"U")</f>
        <v/>
      </c>
      <c r="M8" s="305" t="n"/>
      <c r="N8" s="306" t="n"/>
    </row>
    <row r="9" ht="16.5" customHeight="1">
      <c r="A9" s="2" t="inlineStr">
        <is>
          <t>EMPRESA:</t>
        </is>
      </c>
      <c r="B9" s="3" t="n"/>
      <c r="C9" s="129">
        <f>JAN!C9:I9</f>
        <v/>
      </c>
      <c r="D9" s="297" t="n"/>
      <c r="E9" s="297" t="n"/>
      <c r="F9" s="297" t="n"/>
      <c r="G9" s="297" t="n"/>
      <c r="H9" s="297" t="n"/>
      <c r="I9" s="298" t="n"/>
      <c r="J9" s="4" t="inlineStr">
        <is>
          <t>CNPJ:</t>
        </is>
      </c>
      <c r="K9" s="307">
        <f>JAN!K9:L9</f>
        <v/>
      </c>
      <c r="L9" s="296" t="n"/>
      <c r="M9" s="38" t="inlineStr">
        <is>
          <t>EXERCÍCIO:</t>
        </is>
      </c>
      <c r="N9" s="42" t="n">
        <v>2021</v>
      </c>
      <c r="P9" t="inlineStr">
        <is>
          <t>U: DIA ÚTIL</t>
        </is>
      </c>
    </row>
    <row r="10" ht="16.5" customHeight="1">
      <c r="A10" s="2" t="inlineStr">
        <is>
          <t>LOCALIZAÇÃO:</t>
        </is>
      </c>
      <c r="B10" s="3" t="n"/>
      <c r="C10" s="203">
        <f>JAN!C10:I10</f>
        <v/>
      </c>
      <c r="D10" s="297" t="n"/>
      <c r="E10" s="297" t="n"/>
      <c r="F10" s="297" t="n"/>
      <c r="G10" s="297" t="n"/>
      <c r="H10" s="297" t="n"/>
      <c r="I10" s="298" t="n"/>
      <c r="J10" s="395" t="inlineStr">
        <is>
          <t>NÚMERO FUNCIONAL:</t>
        </is>
      </c>
      <c r="K10" s="296" t="n"/>
      <c r="L10" s="43">
        <f>JAN!L10</f>
        <v/>
      </c>
      <c r="M10" s="37" t="inlineStr">
        <is>
          <t>VÍNCULO:</t>
        </is>
      </c>
      <c r="N10" s="44">
        <f>JAN!N10</f>
        <v/>
      </c>
      <c r="P10" t="inlineStr">
        <is>
          <t>F: SÁBADOS; DOMINGOS E FERIADOS</t>
        </is>
      </c>
    </row>
    <row r="11" ht="16.5" customHeight="1" thickBot="1">
      <c r="A11" s="309" t="inlineStr">
        <is>
          <t>REGIME JURÍDICO:</t>
        </is>
      </c>
      <c r="B11" s="310" t="n"/>
      <c r="C11" s="311">
        <f>JAN!C11:E11</f>
        <v/>
      </c>
      <c r="D11" s="312" t="n"/>
      <c r="E11" s="313" t="n"/>
      <c r="F11" s="314" t="inlineStr">
        <is>
          <t>ÓRGÃO DE EXERCÍCIO:</t>
        </is>
      </c>
      <c r="G11" s="315" t="n"/>
      <c r="H11" s="310" t="n"/>
      <c r="I11" s="316" t="inlineStr">
        <is>
          <t>Secretaria de Estado da Educação</t>
        </is>
      </c>
      <c r="J11" s="312" t="n"/>
      <c r="K11" s="312" t="n"/>
      <c r="L11" s="312" t="n"/>
      <c r="M11" s="312" t="n"/>
      <c r="N11" s="317" t="n"/>
    </row>
    <row r="12" ht="39" customHeight="1" thickBot="1">
      <c r="A12" s="168" t="inlineStr">
        <is>
          <t>DIAS DA SEMANA</t>
        </is>
      </c>
      <c r="E12" s="287" t="n"/>
      <c r="F12" s="170" t="inlineStr">
        <is>
          <t>1º TURNO</t>
        </is>
      </c>
      <c r="G12" s="318" t="n"/>
      <c r="H12" s="170" t="inlineStr">
        <is>
          <t>2º TURNO</t>
        </is>
      </c>
      <c r="I12" s="318" t="n"/>
      <c r="J12" s="170" t="inlineStr">
        <is>
          <t>3º TURNO</t>
        </is>
      </c>
      <c r="K12" s="318" t="n"/>
      <c r="L12" s="6" t="inlineStr">
        <is>
          <t xml:space="preserve">HORAS TRABALHADAS </t>
        </is>
      </c>
      <c r="M12" s="6" t="inlineStr">
        <is>
          <t>CH PADRÃO</t>
        </is>
      </c>
      <c r="N12" s="6" t="inlineStr">
        <is>
          <t xml:space="preserve">SALDO </t>
        </is>
      </c>
      <c r="O12" s="47" t="n"/>
      <c r="P12" s="173" t="inlineStr">
        <is>
          <t>saldo acumulado até hoje</t>
        </is>
      </c>
      <c r="Q12" s="47" t="n"/>
      <c r="R12" s="319">
        <f>SUM(U14:U44)+SUM(FEV!U44)+SUM(MAR!U14:U44)+SUM(ABR!U14:U44)+SUM(MAIO!U14:U44)+SUM(JUN!U14:U44)+SUM(JUL!U14:U44)+SUM(AGO!U14:U44)+SUM(SET!U14:U44)+SUM(OUT!U14:U44)+SUM(NOV!U14:U44)+SUM(DEZ!U14:U44)</f>
        <v/>
      </c>
      <c r="S12" s="320" t="n"/>
      <c r="U12" s="66">
        <f>TODAY()</f>
        <v/>
      </c>
    </row>
    <row r="13" ht="26.25" customHeight="1" thickBot="1">
      <c r="A13" s="321" t="n"/>
      <c r="B13" s="322" t="n"/>
      <c r="C13" s="322" t="n"/>
      <c r="D13" s="322" t="n"/>
      <c r="E13" s="318" t="n"/>
      <c r="F13" s="7" t="inlineStr">
        <is>
          <t>ENTRADA MANHÃ</t>
        </is>
      </c>
      <c r="G13" s="7" t="inlineStr">
        <is>
          <t>SAÍDA MANHÃ</t>
        </is>
      </c>
      <c r="H13" s="7" t="inlineStr">
        <is>
          <t>ENTRADA TARDE</t>
        </is>
      </c>
      <c r="I13" s="7" t="inlineStr">
        <is>
          <t>SAÍDA DA TARDE</t>
        </is>
      </c>
      <c r="J13" s="7" t="inlineStr">
        <is>
          <t>ENTRADA EXTRA</t>
        </is>
      </c>
      <c r="K13" s="7" t="inlineStr">
        <is>
          <t>SAÍDA EXTRA</t>
        </is>
      </c>
      <c r="L13" s="8" t="inlineStr">
        <is>
          <t>POR DIA</t>
        </is>
      </c>
      <c r="M13" s="8" t="inlineStr">
        <is>
          <t>DIÁRIA</t>
        </is>
      </c>
      <c r="N13" s="8" t="inlineStr">
        <is>
          <t>DIÁRIO</t>
        </is>
      </c>
      <c r="O13" s="47" t="n"/>
    </row>
    <row r="14" ht="16.5" customHeight="1" thickBot="1">
      <c r="A14" s="17">
        <f>IF(OR(C14=2,C14=8),"F","U")</f>
        <v/>
      </c>
      <c r="B14" s="45">
        <f>K6</f>
        <v/>
      </c>
      <c r="C14" s="390">
        <f>WEEKDAY(B14)+1</f>
        <v/>
      </c>
      <c r="D14" s="351" t="n"/>
      <c r="E14" s="291" t="n"/>
      <c r="F14" s="391" t="n">
        <v>0</v>
      </c>
      <c r="G14" s="396" t="n">
        <v>0</v>
      </c>
      <c r="H14" s="396" t="n">
        <v>0</v>
      </c>
      <c r="I14" s="397" t="n">
        <v>0</v>
      </c>
      <c r="J14" s="396" t="n"/>
      <c r="K14" s="328" t="n"/>
      <c r="L14" s="329">
        <f>IF(A14="U",(G14-F14)+(I14-H14)+(K14-J14),"NÃO ÚTIL")</f>
        <v/>
      </c>
      <c r="M14" s="330">
        <f>IF(A14="U",L7,"NÃO ÚTIL")</f>
        <v/>
      </c>
      <c r="N14" s="331">
        <f>IF(A14="U",(L14-M14),"NÃO ÚTIL")</f>
        <v/>
      </c>
      <c r="O14" s="47" t="n"/>
      <c r="P14" s="332">
        <f>IF(N14="não útil",0,N14)</f>
        <v/>
      </c>
      <c r="Q14" s="332">
        <f>P14</f>
        <v/>
      </c>
      <c r="R14" s="332">
        <f>Q14+$Q$4</f>
        <v/>
      </c>
      <c r="S14" s="47">
        <f>IF(B14=T14,"HOJE",".")</f>
        <v/>
      </c>
      <c r="T14" s="62">
        <f>TODAY()</f>
        <v/>
      </c>
      <c r="U14" s="332">
        <f>IF(S14="HOJE",R14,0)</f>
        <v/>
      </c>
      <c r="V14" s="47" t="n"/>
    </row>
    <row r="15" ht="16.5" customHeight="1" thickBot="1">
      <c r="A15" s="17">
        <f>IF(OR(C15=2,C15=8),"F","U")</f>
        <v/>
      </c>
      <c r="B15" s="46">
        <f>B14+1</f>
        <v/>
      </c>
      <c r="C15" s="393">
        <f>WEEKDAY(B15)+1</f>
        <v/>
      </c>
      <c r="D15" s="305" t="n"/>
      <c r="E15" s="296" t="n"/>
      <c r="F15" s="402" t="n">
        <v>0</v>
      </c>
      <c r="G15" s="372" t="n">
        <v>0</v>
      </c>
      <c r="H15" s="372" t="n">
        <v>0</v>
      </c>
      <c r="I15" s="373" t="n">
        <v>0</v>
      </c>
      <c r="J15" s="372" t="n"/>
      <c r="K15" s="336" t="n"/>
      <c r="L15" s="329">
        <f>IF(A15="U",(G15-F15)+(I15-H15)+(K15-J15),"NÃO ÚTIL")</f>
        <v/>
      </c>
      <c r="M15" s="330">
        <f>IF(A15="U",L7,"NÃO ÚTIL")</f>
        <v/>
      </c>
      <c r="N15" s="331">
        <f>IF(A15="U",(L15-M15),"NÃO ÚTIL")</f>
        <v/>
      </c>
      <c r="O15" s="337" t="n"/>
      <c r="P15" s="332">
        <f>IF(N15="não útil",0,N15)</f>
        <v/>
      </c>
      <c r="Q15" s="337">
        <f>P15+Q14</f>
        <v/>
      </c>
      <c r="R15" s="332">
        <f>Q15+$Q$4</f>
        <v/>
      </c>
      <c r="S15" s="47">
        <f>IF(B15=T15,"HOJE",".")</f>
        <v/>
      </c>
      <c r="T15" s="62">
        <f>TODAY()</f>
        <v/>
      </c>
      <c r="U15" s="332">
        <f>IF(S15="HOJE",R15,0)</f>
        <v/>
      </c>
      <c r="V15" s="47" t="n"/>
    </row>
    <row r="16" ht="16.5" customHeight="1" thickBot="1">
      <c r="A16" s="17">
        <f>IF(OR(C16=2,C16=8),"F","U")</f>
        <v/>
      </c>
      <c r="B16" s="46">
        <f>B15+1</f>
        <v/>
      </c>
      <c r="C16" s="393">
        <f>WEEKDAY(B16)+1</f>
        <v/>
      </c>
      <c r="D16" s="305" t="n"/>
      <c r="E16" s="296" t="n"/>
      <c r="F16" s="371" t="n">
        <v>0</v>
      </c>
      <c r="G16" s="372" t="n">
        <v>0</v>
      </c>
      <c r="H16" s="372" t="n">
        <v>0</v>
      </c>
      <c r="I16" s="373" t="n">
        <v>0</v>
      </c>
      <c r="J16" s="414" t="n"/>
      <c r="K16" s="339" t="n"/>
      <c r="L16" s="329">
        <f>IF(A16="U",(G16-F16)+(I16-H16)+(K16-J16),"NÃO ÚTIL")</f>
        <v/>
      </c>
      <c r="M16" s="330">
        <f>IF(A16="U",L7,"NÃO ÚTIL")</f>
        <v/>
      </c>
      <c r="N16" s="331">
        <f>IF(A16="U",(L16-M16),"NÃO ÚTIL")</f>
        <v/>
      </c>
      <c r="O16" s="337" t="n"/>
      <c r="P16" s="332">
        <f>IF(N16="não útil",0,N16)</f>
        <v/>
      </c>
      <c r="Q16" s="337">
        <f>P16+Q15</f>
        <v/>
      </c>
      <c r="R16" s="332">
        <f>Q16+$Q$4</f>
        <v/>
      </c>
      <c r="S16" s="47">
        <f>IF(B16=T16,"HOJE",".")</f>
        <v/>
      </c>
      <c r="T16" s="62">
        <f>TODAY()</f>
        <v/>
      </c>
      <c r="U16" s="332">
        <f>IF(S16="HOJE",R16,0)</f>
        <v/>
      </c>
      <c r="V16" s="47" t="n"/>
    </row>
    <row r="17" ht="16.5" customHeight="1" thickBot="1">
      <c r="A17" s="17">
        <f>IF(OR(C17=2,C17=8),"F","U")</f>
        <v/>
      </c>
      <c r="B17" s="46">
        <f>B16+1</f>
        <v/>
      </c>
      <c r="C17" s="393">
        <f>WEEKDAY(B17)+1</f>
        <v/>
      </c>
      <c r="D17" s="305" t="n"/>
      <c r="E17" s="296" t="n"/>
      <c r="F17" s="371" t="n">
        <v>0</v>
      </c>
      <c r="G17" s="372" t="n">
        <v>0</v>
      </c>
      <c r="H17" s="372" t="n">
        <v>0</v>
      </c>
      <c r="I17" s="373" t="n">
        <v>0</v>
      </c>
      <c r="J17" s="415" t="n"/>
      <c r="K17" s="341" t="n"/>
      <c r="L17" s="329">
        <f>IF(A17="U",(G17-F17)+(I17-H17)+(K17-J17),"NÃO ÚTIL")</f>
        <v/>
      </c>
      <c r="M17" s="330">
        <f>IF(A17="U",L7,"NÃO ÚTIL")</f>
        <v/>
      </c>
      <c r="N17" s="331">
        <f>IF(A17="U",(L17-M17),"NÃO ÚTIL")</f>
        <v/>
      </c>
      <c r="O17" s="47" t="n"/>
      <c r="P17" s="332">
        <f>IF(N17="não útil",0,N17)</f>
        <v/>
      </c>
      <c r="Q17" s="337">
        <f>P17+Q16</f>
        <v/>
      </c>
      <c r="R17" s="332">
        <f>Q17+$Q$4</f>
        <v/>
      </c>
      <c r="S17" s="47">
        <f>IF(B17=T17,"HOJE",".")</f>
        <v/>
      </c>
      <c r="T17" s="62">
        <f>TODAY()</f>
        <v/>
      </c>
      <c r="U17" s="332">
        <f>IF(S17="HOJE",R17,0)</f>
        <v/>
      </c>
      <c r="V17" s="47" t="n"/>
    </row>
    <row r="18" ht="16.5" customHeight="1" thickBot="1">
      <c r="A18" s="17">
        <f>IF(OR(C18=2,C18=8),"F","U")</f>
        <v/>
      </c>
      <c r="B18" s="46">
        <f>B17+1</f>
        <v/>
      </c>
      <c r="C18" s="393">
        <f>WEEKDAY(B18)+1</f>
        <v/>
      </c>
      <c r="D18" s="305" t="n"/>
      <c r="E18" s="296" t="n"/>
      <c r="F18" s="371" t="n">
        <v>0</v>
      </c>
      <c r="G18" s="372" t="n">
        <v>0</v>
      </c>
      <c r="H18" s="372" t="n">
        <v>0</v>
      </c>
      <c r="I18" s="373" t="n">
        <v>0</v>
      </c>
      <c r="J18" s="414" t="n"/>
      <c r="K18" s="339" t="n"/>
      <c r="L18" s="329">
        <f>IF(A18="U",(G18-F18)+(I18-H18)+(K18-J18),"NÃO ÚTIL")</f>
        <v/>
      </c>
      <c r="M18" s="330">
        <f>IF(A18="U",L7,"NÃO ÚTIL")</f>
        <v/>
      </c>
      <c r="N18" s="331">
        <f>IF(A18="U",(L18-M18),"NÃO ÚTIL")</f>
        <v/>
      </c>
      <c r="O18" s="47" t="n"/>
      <c r="P18" s="332">
        <f>IF(N18="não útil",0,N18)</f>
        <v/>
      </c>
      <c r="Q18" s="337">
        <f>P18+Q17</f>
        <v/>
      </c>
      <c r="R18" s="332">
        <f>Q18+$Q$4</f>
        <v/>
      </c>
      <c r="S18" s="47">
        <f>IF(B18=T18,"HOJE",".")</f>
        <v/>
      </c>
      <c r="T18" s="62">
        <f>TODAY()</f>
        <v/>
      </c>
      <c r="U18" s="332">
        <f>IF(S18="HOJE",R18,0)</f>
        <v/>
      </c>
      <c r="V18" s="47" t="n"/>
    </row>
    <row r="19" ht="16.5" customHeight="1" thickBot="1">
      <c r="A19" s="17">
        <f>IF(OR(C19=2,C19=8),"F","U")</f>
        <v/>
      </c>
      <c r="B19" s="46">
        <f>B18+1</f>
        <v/>
      </c>
      <c r="C19" s="393">
        <f>WEEKDAY(B19)+1</f>
        <v/>
      </c>
      <c r="D19" s="305" t="n"/>
      <c r="E19" s="296" t="n"/>
      <c r="F19" s="371" t="n">
        <v>0</v>
      </c>
      <c r="G19" s="372" t="n">
        <v>0</v>
      </c>
      <c r="H19" s="372" t="n">
        <v>0</v>
      </c>
      <c r="I19" s="373" t="n">
        <v>0</v>
      </c>
      <c r="J19" s="372" t="n"/>
      <c r="K19" s="336" t="n"/>
      <c r="L19" s="329">
        <f>IF(A19="U",(G19-F19)+(I19-H19)+(K19-J19),"NÃO ÚTIL")</f>
        <v/>
      </c>
      <c r="M19" s="330">
        <f>IF(A19="U",L7,"NÃO ÚTIL")</f>
        <v/>
      </c>
      <c r="N19" s="331">
        <f>IF(A19="U",(L19-M19),"NÃO ÚTIL")</f>
        <v/>
      </c>
      <c r="O19" s="47" t="n"/>
      <c r="P19" s="332">
        <f>IF(N19="não útil",0,N19)</f>
        <v/>
      </c>
      <c r="Q19" s="337">
        <f>P19+Q18</f>
        <v/>
      </c>
      <c r="R19" s="332">
        <f>Q19+$Q$4</f>
        <v/>
      </c>
      <c r="S19" s="47">
        <f>IF(B19=T19,"HOJE",".")</f>
        <v/>
      </c>
      <c r="T19" s="62">
        <f>TODAY()</f>
        <v/>
      </c>
      <c r="U19" s="332">
        <f>IF(S19="HOJE",R19,0)</f>
        <v/>
      </c>
      <c r="V19" s="47" t="n"/>
    </row>
    <row r="20" ht="16.5" customHeight="1" thickBot="1">
      <c r="A20" s="17">
        <f>IF(OR(C20=2,C20=8),"F","U")</f>
        <v/>
      </c>
      <c r="B20" s="46">
        <f>B19+1</f>
        <v/>
      </c>
      <c r="C20" s="393">
        <f>WEEKDAY(B20)+1</f>
        <v/>
      </c>
      <c r="D20" s="305" t="n"/>
      <c r="E20" s="296" t="n"/>
      <c r="F20" s="371" t="n">
        <v>0</v>
      </c>
      <c r="G20" s="372" t="n">
        <v>0</v>
      </c>
      <c r="H20" s="372" t="n">
        <v>0</v>
      </c>
      <c r="I20" s="373" t="n">
        <v>0</v>
      </c>
      <c r="J20" s="372" t="n"/>
      <c r="K20" s="336" t="n"/>
      <c r="L20" s="329">
        <f>IF(A20="U",(G20-F20)+(I20-H20)+(K20-J20),"NÃO ÚTIL")</f>
        <v/>
      </c>
      <c r="M20" s="330">
        <f>IF(A20="U",L7,"NÃO ÚTIL")</f>
        <v/>
      </c>
      <c r="N20" s="331">
        <f>IF(A20="U",(L20-M20),"NÃO ÚTIL")</f>
        <v/>
      </c>
      <c r="O20" s="47" t="n"/>
      <c r="P20" s="332">
        <f>IF(N20="não útil",0,N20)</f>
        <v/>
      </c>
      <c r="Q20" s="337">
        <f>P20+Q19</f>
        <v/>
      </c>
      <c r="R20" s="332">
        <f>Q20+$Q$4</f>
        <v/>
      </c>
      <c r="S20" s="47">
        <f>IF(B20=T20,"HOJE",".")</f>
        <v/>
      </c>
      <c r="T20" s="62">
        <f>TODAY()</f>
        <v/>
      </c>
      <c r="U20" s="332">
        <f>IF(S20="HOJE",R20,0)</f>
        <v/>
      </c>
      <c r="V20" s="47" t="n"/>
    </row>
    <row r="21" ht="16.5" customHeight="1" thickBot="1">
      <c r="A21" s="17">
        <f>IF(OR(C21=2,C21=8),"F","U")</f>
        <v/>
      </c>
      <c r="B21" s="46">
        <f>B20+1</f>
        <v/>
      </c>
      <c r="C21" s="393">
        <f>WEEKDAY(B21)+1</f>
        <v/>
      </c>
      <c r="D21" s="305" t="n"/>
      <c r="E21" s="296" t="n"/>
      <c r="F21" s="371" t="n">
        <v>0</v>
      </c>
      <c r="G21" s="372" t="n">
        <v>0</v>
      </c>
      <c r="H21" s="372" t="n">
        <v>0</v>
      </c>
      <c r="I21" s="373" t="n">
        <v>0</v>
      </c>
      <c r="J21" s="415" t="n"/>
      <c r="K21" s="341" t="n"/>
      <c r="L21" s="329">
        <f>IF(A21="U",(G21-F21)+(I21-H21)+(K21-J21),"NÃO ÚTIL")</f>
        <v/>
      </c>
      <c r="M21" s="330">
        <f>IF(A21="U",L7,"NÃO ÚTIL")</f>
        <v/>
      </c>
      <c r="N21" s="331">
        <f>IF(A21="U",(L21-M21),"NÃO ÚTIL")</f>
        <v/>
      </c>
      <c r="O21" s="47" t="n"/>
      <c r="P21" s="332">
        <f>IF(N21="não útil",0,N21)</f>
        <v/>
      </c>
      <c r="Q21" s="337">
        <f>P21+Q20</f>
        <v/>
      </c>
      <c r="R21" s="332">
        <f>Q21+$Q$4</f>
        <v/>
      </c>
      <c r="S21" s="47">
        <f>IF(B21=T21,"HOJE",".")</f>
        <v/>
      </c>
      <c r="T21" s="62">
        <f>TODAY()</f>
        <v/>
      </c>
      <c r="U21" s="332">
        <f>IF(S21="HOJE",R21,0)</f>
        <v/>
      </c>
      <c r="V21" s="47" t="n"/>
    </row>
    <row r="22" ht="16.5" customHeight="1" thickBot="1">
      <c r="A22" s="17">
        <f>IF(OR(C22=2,C22=8),"F","U")</f>
        <v/>
      </c>
      <c r="B22" s="46">
        <f>B21+1</f>
        <v/>
      </c>
      <c r="C22" s="393">
        <f>WEEKDAY(B22)+1</f>
        <v/>
      </c>
      <c r="D22" s="305" t="n"/>
      <c r="E22" s="296" t="n"/>
      <c r="F22" s="371" t="n">
        <v>0</v>
      </c>
      <c r="G22" s="372" t="n">
        <v>0</v>
      </c>
      <c r="H22" s="372" t="n">
        <v>0</v>
      </c>
      <c r="I22" s="373" t="n">
        <v>0</v>
      </c>
      <c r="J22" s="414" t="n"/>
      <c r="K22" s="339" t="n"/>
      <c r="L22" s="329">
        <f>IF(A22="U",(G22-F22)+(I22-H22)+(K22-J22),"NÃO ÚTIL")</f>
        <v/>
      </c>
      <c r="M22" s="330">
        <f>IF(A22="U",L7,"NÃO ÚTIL")</f>
        <v/>
      </c>
      <c r="N22" s="331">
        <f>IF(A22="U",(L22-M22),"NÃO ÚTIL")</f>
        <v/>
      </c>
      <c r="O22" s="47" t="n"/>
      <c r="P22" s="332">
        <f>IF(N22="não útil",0,N22)</f>
        <v/>
      </c>
      <c r="Q22" s="337">
        <f>P22+Q21</f>
        <v/>
      </c>
      <c r="R22" s="332">
        <f>Q22+$Q$4</f>
        <v/>
      </c>
      <c r="S22" s="47">
        <f>IF(B22=T22,"HOJE",".")</f>
        <v/>
      </c>
      <c r="T22" s="62">
        <f>TODAY()</f>
        <v/>
      </c>
      <c r="U22" s="332">
        <f>IF(S22="HOJE",R22,0)</f>
        <v/>
      </c>
      <c r="V22" s="47" t="n"/>
    </row>
    <row r="23" ht="16.5" customHeight="1" thickBot="1">
      <c r="A23" s="17">
        <f>IF(OR(C23=2,C23=8),"F","U")</f>
        <v/>
      </c>
      <c r="B23" s="46">
        <f>B22+1</f>
        <v/>
      </c>
      <c r="C23" s="393">
        <f>WEEKDAY(B23)+1</f>
        <v/>
      </c>
      <c r="D23" s="305" t="n"/>
      <c r="E23" s="296" t="n"/>
      <c r="F23" s="371" t="n">
        <v>0</v>
      </c>
      <c r="G23" s="372" t="n">
        <v>0</v>
      </c>
      <c r="H23" s="372" t="n">
        <v>0</v>
      </c>
      <c r="I23" s="373" t="n">
        <v>0</v>
      </c>
      <c r="J23" s="372" t="n"/>
      <c r="K23" s="336" t="n"/>
      <c r="L23" s="329">
        <f>IF(A23="U",(G23-F23)+(I23-H23)+(K23-J23),"NÃO ÚTIL")</f>
        <v/>
      </c>
      <c r="M23" s="330">
        <f>IF(A23="U",L7,"NÃO ÚTIL")</f>
        <v/>
      </c>
      <c r="N23" s="331">
        <f>IF(A23="U",(L23-M23),"NÃO ÚTIL")</f>
        <v/>
      </c>
      <c r="O23" s="47" t="n"/>
      <c r="P23" s="332">
        <f>IF(N23="não útil",0,N23)</f>
        <v/>
      </c>
      <c r="Q23" s="337">
        <f>P23+Q22</f>
        <v/>
      </c>
      <c r="R23" s="332">
        <f>Q23+$Q$4</f>
        <v/>
      </c>
      <c r="S23" s="47">
        <f>IF(B23=T23,"HOJE",".")</f>
        <v/>
      </c>
      <c r="T23" s="62">
        <f>TODAY()</f>
        <v/>
      </c>
      <c r="U23" s="332">
        <f>IF(S23="HOJE",R23,0)</f>
        <v/>
      </c>
      <c r="V23" s="47" t="n"/>
    </row>
    <row r="24" ht="16.5" customHeight="1" thickBot="1">
      <c r="A24" s="17">
        <f>IF(OR(C24=2,C24=8),"F","U")</f>
        <v/>
      </c>
      <c r="B24" s="46">
        <f>B23+1</f>
        <v/>
      </c>
      <c r="C24" s="393">
        <f>WEEKDAY(B24)+1</f>
        <v/>
      </c>
      <c r="D24" s="305" t="n"/>
      <c r="E24" s="296" t="n"/>
      <c r="F24" s="371" t="n">
        <v>0</v>
      </c>
      <c r="G24" s="379" t="n">
        <v>0</v>
      </c>
      <c r="H24" s="379" t="n">
        <v>0</v>
      </c>
      <c r="I24" s="380" t="n">
        <v>0</v>
      </c>
      <c r="J24" s="414" t="n"/>
      <c r="K24" s="339" t="n"/>
      <c r="L24" s="329">
        <f>IF(A24="U",(G24-F24)+(I24-H24)+(K24-J24),"NÃO ÚTIL")</f>
        <v/>
      </c>
      <c r="M24" s="330">
        <f>IF(A24="U",L7,"NÃO ÚTIL")</f>
        <v/>
      </c>
      <c r="N24" s="331">
        <f>IF(A24="U",(L24-M24),"NÃO ÚTIL")</f>
        <v/>
      </c>
      <c r="O24" s="47" t="n"/>
      <c r="P24" s="332">
        <f>IF(N24="não útil",0,N24)</f>
        <v/>
      </c>
      <c r="Q24" s="337">
        <f>P24+Q23</f>
        <v/>
      </c>
      <c r="R24" s="332">
        <f>Q24+$Q$4</f>
        <v/>
      </c>
      <c r="S24" s="47">
        <f>IF(B24=T24,"HOJE",".")</f>
        <v/>
      </c>
      <c r="T24" s="62">
        <f>TODAY()</f>
        <v/>
      </c>
      <c r="U24" s="332">
        <f>IF(S24="HOJE",R24,0)</f>
        <v/>
      </c>
      <c r="V24" s="47" t="n"/>
    </row>
    <row r="25" ht="16.5" customHeight="1" thickBot="1">
      <c r="A25" s="17">
        <f>IF(OR(C25=2,C25=8),"F","U")</f>
        <v/>
      </c>
      <c r="B25" s="46">
        <f>B24+1</f>
        <v/>
      </c>
      <c r="C25" s="393">
        <f>WEEKDAY(B25)+1</f>
        <v/>
      </c>
      <c r="D25" s="305" t="n"/>
      <c r="E25" s="296" t="n"/>
      <c r="F25" s="371" t="n">
        <v>0</v>
      </c>
      <c r="G25" s="372" t="n">
        <v>0</v>
      </c>
      <c r="H25" s="372" t="n">
        <v>0</v>
      </c>
      <c r="I25" s="373" t="n">
        <v>0</v>
      </c>
      <c r="J25" s="372" t="n"/>
      <c r="K25" s="336" t="n"/>
      <c r="L25" s="329">
        <f>IF(A25="U",(G25-F25)+(I25-H25)+(K25-J25),"NÃO ÚTIL")</f>
        <v/>
      </c>
      <c r="M25" s="330">
        <f>IF(A25="U",L7,"NÃO ÚTIL")</f>
        <v/>
      </c>
      <c r="N25" s="331">
        <f>IF(A25="U",(L25-M25),"NÃO ÚTIL")</f>
        <v/>
      </c>
      <c r="O25" s="47" t="n"/>
      <c r="P25" s="332">
        <f>IF(N25="não útil",0,N25)</f>
        <v/>
      </c>
      <c r="Q25" s="337">
        <f>P25+Q24</f>
        <v/>
      </c>
      <c r="R25" s="332">
        <f>Q25+$Q$4</f>
        <v/>
      </c>
      <c r="S25" s="47">
        <f>IF(B25=T25,"HOJE",".")</f>
        <v/>
      </c>
      <c r="T25" s="62">
        <f>TODAY()</f>
        <v/>
      </c>
      <c r="U25" s="332">
        <f>IF(S25="HOJE",R25,0)</f>
        <v/>
      </c>
      <c r="V25" s="47" t="n"/>
    </row>
    <row r="26" ht="16.5" customHeight="1" thickBot="1">
      <c r="A26" s="17">
        <f>IF(OR(C26=2,C26=8),"F","U")</f>
        <v/>
      </c>
      <c r="B26" s="46">
        <f>B25+1</f>
        <v/>
      </c>
      <c r="C26" s="393">
        <f>WEEKDAY(B26)+1</f>
        <v/>
      </c>
      <c r="D26" s="305" t="n"/>
      <c r="E26" s="296" t="n"/>
      <c r="F26" s="371" t="n">
        <v>0</v>
      </c>
      <c r="G26" s="372" t="n">
        <v>0</v>
      </c>
      <c r="H26" s="372" t="n">
        <v>0</v>
      </c>
      <c r="I26" s="373" t="n">
        <v>0</v>
      </c>
      <c r="J26" s="415" t="n"/>
      <c r="K26" s="341" t="n"/>
      <c r="L26" s="329">
        <f>IF(A26="U",(G26-F26)+(I26-H26)+(K26-J26),"NÃO ÚTIL")</f>
        <v/>
      </c>
      <c r="M26" s="330">
        <f>IF(A26="U",L7,"NÃO ÚTIL")</f>
        <v/>
      </c>
      <c r="N26" s="331">
        <f>IF(A26="U",(L26-M26),"NÃO ÚTIL")</f>
        <v/>
      </c>
      <c r="O26" s="47" t="n"/>
      <c r="P26" s="332">
        <f>IF(N26="não útil",0,N26)</f>
        <v/>
      </c>
      <c r="Q26" s="337">
        <f>P26+Q25</f>
        <v/>
      </c>
      <c r="R26" s="332">
        <f>Q26+$Q$4</f>
        <v/>
      </c>
      <c r="S26" s="47">
        <f>IF(B26=T26,"HOJE",".")</f>
        <v/>
      </c>
      <c r="T26" s="62">
        <f>TODAY()</f>
        <v/>
      </c>
      <c r="U26" s="332">
        <f>IF(S26="HOJE",R26,0)</f>
        <v/>
      </c>
      <c r="V26" s="47" t="n"/>
    </row>
    <row r="27" ht="16.5" customHeight="1" thickBot="1">
      <c r="A27" s="17">
        <f>IF(OR(C27=2,C27=8),"F","U")</f>
        <v/>
      </c>
      <c r="B27" s="46">
        <f>B26+1</f>
        <v/>
      </c>
      <c r="C27" s="393">
        <f>WEEKDAY(B27)+1</f>
        <v/>
      </c>
      <c r="D27" s="305" t="n"/>
      <c r="E27" s="296" t="n"/>
      <c r="F27" s="371" t="n">
        <v>0</v>
      </c>
      <c r="G27" s="372" t="n">
        <v>0</v>
      </c>
      <c r="H27" s="372" t="n">
        <v>0</v>
      </c>
      <c r="I27" s="373" t="n">
        <v>0</v>
      </c>
      <c r="J27" s="414" t="n"/>
      <c r="K27" s="339" t="n"/>
      <c r="L27" s="329">
        <f>IF(A27="U",(G27-F27)+(I27-H27)+(K27-J27),"NÃO ÚTIL")</f>
        <v/>
      </c>
      <c r="M27" s="330">
        <f>IF(A27="U",L7,"NÃO ÚTIL")</f>
        <v/>
      </c>
      <c r="N27" s="331">
        <f>IF(A27="U",(L27-M27),"NÃO ÚTIL")</f>
        <v/>
      </c>
      <c r="O27" s="47" t="n"/>
      <c r="P27" s="332">
        <f>IF(N27="não útil",0,N27)</f>
        <v/>
      </c>
      <c r="Q27" s="337">
        <f>P27+Q26</f>
        <v/>
      </c>
      <c r="R27" s="332">
        <f>Q27+$Q$4</f>
        <v/>
      </c>
      <c r="S27" s="47">
        <f>IF(B27=T27,"HOJE",".")</f>
        <v/>
      </c>
      <c r="T27" s="62">
        <f>TODAY()</f>
        <v/>
      </c>
      <c r="U27" s="332">
        <f>IF(S27="HOJE",R27,0)</f>
        <v/>
      </c>
      <c r="V27" s="47" t="n"/>
    </row>
    <row r="28" ht="16.5" customHeight="1" thickBot="1">
      <c r="A28" s="17">
        <f>IF(OR(C28=2,C28=8),"F","U")</f>
        <v/>
      </c>
      <c r="B28" s="46">
        <f>B27+1</f>
        <v/>
      </c>
      <c r="C28" s="393">
        <f>WEEKDAY(B28)+1</f>
        <v/>
      </c>
      <c r="D28" s="305" t="n"/>
      <c r="E28" s="296" t="n"/>
      <c r="F28" s="371" t="n">
        <v>0</v>
      </c>
      <c r="G28" s="372" t="n">
        <v>0</v>
      </c>
      <c r="H28" s="372" t="n">
        <v>0</v>
      </c>
      <c r="I28" s="373" t="n">
        <v>0</v>
      </c>
      <c r="J28" s="372" t="n"/>
      <c r="K28" s="336" t="n"/>
      <c r="L28" s="329">
        <f>IF(A28="U",(G28-F28)+(I28-H28)+(K28-J28),"NÃO ÚTIL")</f>
        <v/>
      </c>
      <c r="M28" s="330">
        <f>IF(A28="U",L7,"NÃO ÚTIL")</f>
        <v/>
      </c>
      <c r="N28" s="331">
        <f>IF(A28="U",(L28-M28),"NÃO ÚTIL")</f>
        <v/>
      </c>
      <c r="O28" s="47" t="n"/>
      <c r="P28" s="332">
        <f>IF(N28="não útil",0,N28)</f>
        <v/>
      </c>
      <c r="Q28" s="337">
        <f>P28+Q27</f>
        <v/>
      </c>
      <c r="R28" s="332">
        <f>Q28+$Q$4</f>
        <v/>
      </c>
      <c r="S28" s="47">
        <f>IF(B28=T28,"HOJE",".")</f>
        <v/>
      </c>
      <c r="T28" s="62">
        <f>TODAY()</f>
        <v/>
      </c>
      <c r="U28" s="332">
        <f>IF(S28="HOJE",R28,0)</f>
        <v/>
      </c>
      <c r="V28" s="47" t="n"/>
    </row>
    <row r="29" ht="16.5" customHeight="1" thickBot="1">
      <c r="A29" s="17">
        <f>IF(OR(C29=2,C29=8),"F","U")</f>
        <v/>
      </c>
      <c r="B29" s="46">
        <f>B28+1</f>
        <v/>
      </c>
      <c r="C29" s="393">
        <f>WEEKDAY(B29)+1</f>
        <v/>
      </c>
      <c r="D29" s="305" t="n"/>
      <c r="E29" s="296" t="n"/>
      <c r="F29" s="371" t="n">
        <v>0</v>
      </c>
      <c r="G29" s="372" t="n">
        <v>0</v>
      </c>
      <c r="H29" s="372" t="n">
        <v>0</v>
      </c>
      <c r="I29" s="373" t="n">
        <v>0</v>
      </c>
      <c r="J29" s="415" t="n"/>
      <c r="K29" s="341" t="n"/>
      <c r="L29" s="329">
        <f>IF(A29="U",(G29-F29)+(I29-H29)+(K29-J29),"NÃO ÚTIL")</f>
        <v/>
      </c>
      <c r="M29" s="330">
        <f>IF(A29="U",L7,"NÃO ÚTIL")</f>
        <v/>
      </c>
      <c r="N29" s="331">
        <f>IF(A29="U",(L29-M29),"NÃO ÚTIL")</f>
        <v/>
      </c>
      <c r="O29" s="47" t="n"/>
      <c r="P29" s="332">
        <f>IF(N29="não útil",0,N29)</f>
        <v/>
      </c>
      <c r="Q29" s="337">
        <f>P29+Q28</f>
        <v/>
      </c>
      <c r="R29" s="332">
        <f>Q29+$Q$4</f>
        <v/>
      </c>
      <c r="S29" s="47">
        <f>IF(B29=T29,"HOJE",".")</f>
        <v/>
      </c>
      <c r="T29" s="62">
        <f>TODAY()</f>
        <v/>
      </c>
      <c r="U29" s="332">
        <f>IF(S29="HOJE",R29,0)</f>
        <v/>
      </c>
      <c r="V29" s="47" t="n"/>
    </row>
    <row r="30" ht="16.5" customHeight="1" thickBot="1">
      <c r="A30" s="17">
        <f>IF(OR(C30=2,C30=8),"F","U")</f>
        <v/>
      </c>
      <c r="B30" s="46">
        <f>B29+1</f>
        <v/>
      </c>
      <c r="C30" s="393">
        <f>WEEKDAY(B30)+1</f>
        <v/>
      </c>
      <c r="D30" s="305" t="n"/>
      <c r="E30" s="296" t="n"/>
      <c r="F30" s="371" t="n">
        <v>0</v>
      </c>
      <c r="G30" s="372" t="n">
        <v>0</v>
      </c>
      <c r="H30" s="372" t="n">
        <v>0</v>
      </c>
      <c r="I30" s="373" t="n">
        <v>0</v>
      </c>
      <c r="J30" s="414" t="n"/>
      <c r="K30" s="339" t="n"/>
      <c r="L30" s="329">
        <f>IF(A30="U",(G30-F30)+(I30-H30)+(K30-J30),"NÃO ÚTIL")</f>
        <v/>
      </c>
      <c r="M30" s="330">
        <f>IF(A30="U",L7,"NÃO ÚTIL")</f>
        <v/>
      </c>
      <c r="N30" s="331">
        <f>IF(A30="U",(L30-M30),"NÃO ÚTIL")</f>
        <v/>
      </c>
      <c r="O30" s="47" t="n"/>
      <c r="P30" s="332">
        <f>IF(N30="não útil",0,N30)</f>
        <v/>
      </c>
      <c r="Q30" s="337">
        <f>P30+Q29</f>
        <v/>
      </c>
      <c r="R30" s="332">
        <f>Q30+$Q$4</f>
        <v/>
      </c>
      <c r="S30" s="47">
        <f>IF(B30=T30,"HOJE",".")</f>
        <v/>
      </c>
      <c r="T30" s="62">
        <f>TODAY()</f>
        <v/>
      </c>
      <c r="U30" s="332">
        <f>IF(S30="HOJE",R30,0)</f>
        <v/>
      </c>
      <c r="V30" s="47" t="n"/>
    </row>
    <row r="31" ht="16.5" customHeight="1" thickBot="1">
      <c r="A31" s="17">
        <f>IF(OR(C31=2,C31=8),"F","U")</f>
        <v/>
      </c>
      <c r="B31" s="46">
        <f>B30+1</f>
        <v/>
      </c>
      <c r="C31" s="393">
        <f>WEEKDAY(B31)+1</f>
        <v/>
      </c>
      <c r="D31" s="305" t="n"/>
      <c r="E31" s="296" t="n"/>
      <c r="F31" s="371" t="n">
        <v>0</v>
      </c>
      <c r="G31" s="372" t="n">
        <v>0</v>
      </c>
      <c r="H31" s="372" t="n">
        <v>0</v>
      </c>
      <c r="I31" s="373" t="n">
        <v>0</v>
      </c>
      <c r="J31" s="415" t="n"/>
      <c r="K31" s="341" t="n"/>
      <c r="L31" s="329">
        <f>IF(A31="U",(G31-F31)+(I31-H31)+(K31-J31),"NÃO ÚTIL")</f>
        <v/>
      </c>
      <c r="M31" s="330">
        <f>IF(A31="U",L7,"NÃO ÚTIL")</f>
        <v/>
      </c>
      <c r="N31" s="331">
        <f>IF(A31="U",(L31-M31),"NÃO ÚTIL")</f>
        <v/>
      </c>
      <c r="O31" s="47" t="n"/>
      <c r="P31" s="332">
        <f>IF(N31="não útil",0,N31)</f>
        <v/>
      </c>
      <c r="Q31" s="337">
        <f>P31+Q30</f>
        <v/>
      </c>
      <c r="R31" s="332">
        <f>Q31+$Q$4</f>
        <v/>
      </c>
      <c r="S31" s="47">
        <f>IF(B31=T31,"HOJE",".")</f>
        <v/>
      </c>
      <c r="T31" s="62">
        <f>TODAY()</f>
        <v/>
      </c>
      <c r="U31" s="332">
        <f>IF(S31="HOJE",R31,0)</f>
        <v/>
      </c>
      <c r="V31" s="47" t="n"/>
    </row>
    <row r="32" ht="16.5" customHeight="1" thickBot="1">
      <c r="A32" s="17">
        <f>IF(OR(C32=2,C32=8),"F","U")</f>
        <v/>
      </c>
      <c r="B32" s="46">
        <f>B31+1</f>
        <v/>
      </c>
      <c r="C32" s="393">
        <f>WEEKDAY(B32)+1</f>
        <v/>
      </c>
      <c r="D32" s="305" t="n"/>
      <c r="E32" s="296" t="n"/>
      <c r="F32" s="371" t="n">
        <v>0</v>
      </c>
      <c r="G32" s="372" t="n">
        <v>0</v>
      </c>
      <c r="H32" s="372" t="n">
        <v>0</v>
      </c>
      <c r="I32" s="373" t="n">
        <v>0</v>
      </c>
      <c r="J32" s="416" t="n"/>
      <c r="K32" s="339" t="n"/>
      <c r="L32" s="329">
        <f>IF(A32="U",(G32-F32)+(I32-H32)+(K32-J32),"NÃO ÚTIL")</f>
        <v/>
      </c>
      <c r="M32" s="330">
        <f>IF(A32="U",L7,"NÃO ÚTIL")</f>
        <v/>
      </c>
      <c r="N32" s="331">
        <f>IF(A32="U",(L32-M32),"NÃO ÚTIL")</f>
        <v/>
      </c>
      <c r="O32" s="47" t="n"/>
      <c r="P32" s="332">
        <f>IF(N32="não útil",0,N32)</f>
        <v/>
      </c>
      <c r="Q32" s="337">
        <f>P32+Q31</f>
        <v/>
      </c>
      <c r="R32" s="332">
        <f>Q32+$Q$4</f>
        <v/>
      </c>
      <c r="S32" s="47">
        <f>IF(B32=T32,"HOJE",".")</f>
        <v/>
      </c>
      <c r="T32" s="62">
        <f>TODAY()</f>
        <v/>
      </c>
      <c r="U32" s="332">
        <f>IF(S32="HOJE",R32,0)</f>
        <v/>
      </c>
      <c r="V32" s="47" t="n"/>
    </row>
    <row r="33" ht="16.5" customHeight="1" thickBot="1">
      <c r="A33" s="17">
        <f>IF(OR(C33=2,C33=8),"F","U")</f>
        <v/>
      </c>
      <c r="B33" s="46">
        <f>B32+1</f>
        <v/>
      </c>
      <c r="C33" s="393">
        <f>WEEKDAY(B33)+1</f>
        <v/>
      </c>
      <c r="D33" s="305" t="n"/>
      <c r="E33" s="296" t="n"/>
      <c r="F33" s="371" t="n">
        <v>0</v>
      </c>
      <c r="G33" s="372" t="n">
        <v>0</v>
      </c>
      <c r="H33" s="372" t="n">
        <v>0</v>
      </c>
      <c r="I33" s="373" t="n">
        <v>0</v>
      </c>
      <c r="J33" s="417" t="n"/>
      <c r="K33" s="341" t="n"/>
      <c r="L33" s="329">
        <f>IF(A33="U",(G33-F33)+(I33-H33)+(K33-J33),"NÃO ÚTIL")</f>
        <v/>
      </c>
      <c r="M33" s="330">
        <f>IF(A33="U",L7,"NÃO ÚTIL")</f>
        <v/>
      </c>
      <c r="N33" s="331">
        <f>IF(A33="U",(L33-M33),"NÃO ÚTIL")</f>
        <v/>
      </c>
      <c r="O33" s="47" t="n"/>
      <c r="P33" s="332">
        <f>IF(N33="não útil",0,N33)</f>
        <v/>
      </c>
      <c r="Q33" s="337">
        <f>P33+Q32</f>
        <v/>
      </c>
      <c r="R33" s="332">
        <f>Q33+$Q$4</f>
        <v/>
      </c>
      <c r="S33" s="47">
        <f>IF(B33=T33,"HOJE",".")</f>
        <v/>
      </c>
      <c r="T33" s="62">
        <f>TODAY()</f>
        <v/>
      </c>
      <c r="U33" s="332">
        <f>IF(S33="HOJE",R33,0)</f>
        <v/>
      </c>
      <c r="V33" s="47" t="n"/>
    </row>
    <row r="34" ht="16.5" customHeight="1" thickBot="1">
      <c r="A34" s="17">
        <f>IF(OR(C34=2,C34=8),"F","U")</f>
        <v/>
      </c>
      <c r="B34" s="46">
        <f>B33+1</f>
        <v/>
      </c>
      <c r="C34" s="393">
        <f>WEEKDAY(B34)+1</f>
        <v/>
      </c>
      <c r="D34" s="305" t="n"/>
      <c r="E34" s="296" t="n"/>
      <c r="F34" s="371" t="n">
        <v>0</v>
      </c>
      <c r="G34" s="372" t="n">
        <v>0</v>
      </c>
      <c r="H34" s="372" t="n">
        <v>0</v>
      </c>
      <c r="I34" s="373" t="n">
        <v>0</v>
      </c>
      <c r="J34" s="416" t="n"/>
      <c r="K34" s="345" t="n"/>
      <c r="L34" s="329">
        <f>IF(A34="U",(G34-F34)+(I34-H34)+(K34-J34),"NÃO ÚTIL")</f>
        <v/>
      </c>
      <c r="M34" s="330">
        <f>IF(A34="U",L7,"NÃO ÚTIL")</f>
        <v/>
      </c>
      <c r="N34" s="331">
        <f>IF(A34="U",(L34-M34),"NÃO ÚTIL")</f>
        <v/>
      </c>
      <c r="O34" s="47" t="n"/>
      <c r="P34" s="332">
        <f>IF(N34="não útil",0,N34)</f>
        <v/>
      </c>
      <c r="Q34" s="337">
        <f>P34+Q33</f>
        <v/>
      </c>
      <c r="R34" s="332">
        <f>Q34+$Q$4</f>
        <v/>
      </c>
      <c r="S34" s="47">
        <f>IF(B34=T34,"HOJE",".")</f>
        <v/>
      </c>
      <c r="T34" s="62">
        <f>TODAY()</f>
        <v/>
      </c>
      <c r="U34" s="332">
        <f>IF(S34="HOJE",R34,0)</f>
        <v/>
      </c>
      <c r="V34" s="47" t="n"/>
    </row>
    <row r="35" ht="16.5" customHeight="1" thickBot="1">
      <c r="A35" s="17">
        <f>IF(OR(C35=2,C35=8),"F","U")</f>
        <v/>
      </c>
      <c r="B35" s="46">
        <f>B34+1</f>
        <v/>
      </c>
      <c r="C35" s="393">
        <f>WEEKDAY(B35)+1</f>
        <v/>
      </c>
      <c r="D35" s="305" t="n"/>
      <c r="E35" s="296" t="n"/>
      <c r="F35" s="371" t="n">
        <v>0</v>
      </c>
      <c r="G35" s="372" t="n">
        <v>0</v>
      </c>
      <c r="H35" s="372" t="n">
        <v>0</v>
      </c>
      <c r="I35" s="373" t="n">
        <v>0</v>
      </c>
      <c r="J35" s="416" t="n"/>
      <c r="K35" s="339" t="n"/>
      <c r="L35" s="329">
        <f>IF(A35="U",(G35-F35)+(I35-H35)+(K35-J35),"NÃO ÚTIL")</f>
        <v/>
      </c>
      <c r="M35" s="330">
        <f>IF(A35="U",L7,"NÃO ÚTIL")</f>
        <v/>
      </c>
      <c r="N35" s="331">
        <f>IF(A35="U",(L35-M35),"NÃO ÚTIL")</f>
        <v/>
      </c>
      <c r="O35" s="47" t="n"/>
      <c r="P35" s="332">
        <f>IF(N35="não útil",0,N35)</f>
        <v/>
      </c>
      <c r="Q35" s="337">
        <f>P35+Q34</f>
        <v/>
      </c>
      <c r="R35" s="332">
        <f>Q35+$Q$4</f>
        <v/>
      </c>
      <c r="S35" s="47">
        <f>IF(B35=T35,"HOJE",".")</f>
        <v/>
      </c>
      <c r="T35" s="62">
        <f>TODAY()</f>
        <v/>
      </c>
      <c r="U35" s="332">
        <f>IF(S35="HOJE",R35,0)</f>
        <v/>
      </c>
      <c r="V35" s="47" t="n"/>
    </row>
    <row r="36" ht="16.5" customHeight="1" thickBot="1">
      <c r="A36" s="17">
        <f>IF(OR(C36=2,C36=8),"F","U")</f>
        <v/>
      </c>
      <c r="B36" s="46">
        <f>B35+1</f>
        <v/>
      </c>
      <c r="C36" s="393">
        <f>WEEKDAY(B36)+1</f>
        <v/>
      </c>
      <c r="D36" s="305" t="n"/>
      <c r="E36" s="296" t="n"/>
      <c r="F36" s="371" t="n">
        <v>0</v>
      </c>
      <c r="G36" s="372" t="n">
        <v>0</v>
      </c>
      <c r="H36" s="372" t="n">
        <v>0</v>
      </c>
      <c r="I36" s="373" t="n">
        <v>0</v>
      </c>
      <c r="J36" s="418" t="n"/>
      <c r="K36" s="336" t="n"/>
      <c r="L36" s="329">
        <f>IF(A36="U",(G36-F36)+(I36-H36)+(K36-J36),"NÃO ÚTIL")</f>
        <v/>
      </c>
      <c r="M36" s="330">
        <f>IF(A36="U",L7,"NÃO ÚTIL")</f>
        <v/>
      </c>
      <c r="N36" s="331">
        <f>IF(A36="U",(L36-M36),"NÃO ÚTIL")</f>
        <v/>
      </c>
      <c r="O36" s="47" t="n"/>
      <c r="P36" s="332">
        <f>IF(N36="não útil",0,N36)</f>
        <v/>
      </c>
      <c r="Q36" s="337">
        <f>P36+Q35</f>
        <v/>
      </c>
      <c r="R36" s="332">
        <f>Q36+$Q$4</f>
        <v/>
      </c>
      <c r="S36" s="47">
        <f>IF(B36=T36,"HOJE",".")</f>
        <v/>
      </c>
      <c r="T36" s="62">
        <f>TODAY()</f>
        <v/>
      </c>
      <c r="U36" s="332">
        <f>IF(S36="HOJE",R36,0)</f>
        <v/>
      </c>
      <c r="V36" s="47" t="n"/>
    </row>
    <row r="37" ht="16.5" customHeight="1" thickBot="1">
      <c r="A37" s="17">
        <f>IF(OR(C37=2,C37=8),"F","U")</f>
        <v/>
      </c>
      <c r="B37" s="46">
        <f>B36+1</f>
        <v/>
      </c>
      <c r="C37" s="393">
        <f>WEEKDAY(B37)+1</f>
        <v/>
      </c>
      <c r="D37" s="305" t="n"/>
      <c r="E37" s="296" t="n"/>
      <c r="F37" s="371" t="n">
        <v>0</v>
      </c>
      <c r="G37" s="372" t="n">
        <v>0</v>
      </c>
      <c r="H37" s="372" t="n">
        <v>0</v>
      </c>
      <c r="I37" s="373" t="n">
        <v>0</v>
      </c>
      <c r="J37" s="416" t="n"/>
      <c r="K37" s="345" t="n"/>
      <c r="L37" s="329">
        <f>IF(A37="U",(G37-F37)+(I37-H37)+(K37-J37),"NÃO ÚTIL")</f>
        <v/>
      </c>
      <c r="M37" s="330">
        <f>IF(A37="U",L7,"NÃO ÚTIL")</f>
        <v/>
      </c>
      <c r="N37" s="331">
        <f>IF(A37="U",(L37-M37),"NÃO ÚTIL")</f>
        <v/>
      </c>
      <c r="O37" s="47" t="n"/>
      <c r="P37" s="332">
        <f>IF(N37="não útil",0,N37)</f>
        <v/>
      </c>
      <c r="Q37" s="337">
        <f>P37+Q36</f>
        <v/>
      </c>
      <c r="R37" s="332">
        <f>Q37+$Q$4</f>
        <v/>
      </c>
      <c r="S37" s="47">
        <f>IF(B37=T37,"HOJE",".")</f>
        <v/>
      </c>
      <c r="T37" s="62">
        <f>TODAY()</f>
        <v/>
      </c>
      <c r="U37" s="332">
        <f>IF(S37="HOJE",R37,0)</f>
        <v/>
      </c>
      <c r="V37" s="47" t="n"/>
    </row>
    <row r="38" ht="16.5" customHeight="1" thickBot="1">
      <c r="A38" s="17" t="inlineStr">
        <is>
          <t>F</t>
        </is>
      </c>
      <c r="B38" s="46">
        <f>B37+1</f>
        <v/>
      </c>
      <c r="C38" s="400">
        <f>WEEKDAY(B38)+1</f>
        <v/>
      </c>
      <c r="D38" s="305" t="n"/>
      <c r="E38" s="296" t="n"/>
      <c r="F38" s="371" t="n">
        <v>0</v>
      </c>
      <c r="G38" s="372" t="n">
        <v>0</v>
      </c>
      <c r="H38" s="372" t="n">
        <v>0</v>
      </c>
      <c r="I38" s="373" t="n">
        <v>0</v>
      </c>
      <c r="J38" s="417" t="n"/>
      <c r="K38" s="345" t="n"/>
      <c r="L38" s="329">
        <f>IF(A38="U",(G38-F38)+(I38-H38)+(K38-J38),"NÃO ÚTIL")</f>
        <v/>
      </c>
      <c r="M38" s="330">
        <f>IF(A38="U",L7,"NÃO ÚTIL")</f>
        <v/>
      </c>
      <c r="N38" s="331">
        <f>IF(A38="U",(L38-M38),"NÃO ÚTIL")</f>
        <v/>
      </c>
      <c r="O38" s="47" t="n"/>
      <c r="P38" s="332">
        <f>IF(N38="não útil",0,N38)</f>
        <v/>
      </c>
      <c r="Q38" s="337">
        <f>P38+Q37</f>
        <v/>
      </c>
      <c r="R38" s="332">
        <f>Q38+$Q$4</f>
        <v/>
      </c>
      <c r="S38" s="47">
        <f>IF(B38=T38,"HOJE",".")</f>
        <v/>
      </c>
      <c r="T38" s="62">
        <f>TODAY()</f>
        <v/>
      </c>
      <c r="U38" s="332">
        <f>IF(S38="HOJE",R38,0)</f>
        <v/>
      </c>
      <c r="V38" s="47" t="n"/>
    </row>
    <row r="39" ht="16.5" customHeight="1" thickBot="1">
      <c r="A39" s="17">
        <f>IF(OR(C39=2,C39=8),"F","U")</f>
        <v/>
      </c>
      <c r="B39" s="46">
        <f>B38+1</f>
        <v/>
      </c>
      <c r="C39" s="393">
        <f>WEEKDAY(B39)+1</f>
        <v/>
      </c>
      <c r="D39" s="305" t="n"/>
      <c r="E39" s="296" t="n"/>
      <c r="F39" s="371" t="n">
        <v>0</v>
      </c>
      <c r="G39" s="372" t="n">
        <v>0</v>
      </c>
      <c r="H39" s="372" t="n">
        <v>0</v>
      </c>
      <c r="I39" s="373" t="n">
        <v>0</v>
      </c>
      <c r="J39" s="419" t="n"/>
      <c r="K39" s="339" t="n"/>
      <c r="L39" s="329">
        <f>IF(A39="U",(G39-F39)+(I39-H39)+(K39-J39),"NÃO ÚTIL")</f>
        <v/>
      </c>
      <c r="M39" s="330">
        <f>IF(A39="U",L7,"NÃO ÚTIL")</f>
        <v/>
      </c>
      <c r="N39" s="331">
        <f>IF(A39="U",(L39-M39),"NÃO ÚTIL")</f>
        <v/>
      </c>
      <c r="O39" s="47" t="n"/>
      <c r="P39" s="332">
        <f>IF(N39="não útil",0,N39)</f>
        <v/>
      </c>
      <c r="Q39" s="337">
        <f>P39+Q38</f>
        <v/>
      </c>
      <c r="R39" s="332">
        <f>Q39+$Q$4</f>
        <v/>
      </c>
      <c r="S39" s="47">
        <f>IF(B39=T39,"HOJE",".")</f>
        <v/>
      </c>
      <c r="T39" s="62">
        <f>TODAY()</f>
        <v/>
      </c>
      <c r="U39" s="332">
        <f>IF(S39="HOJE",R39,0)</f>
        <v/>
      </c>
      <c r="V39" s="47" t="n"/>
    </row>
    <row r="40" ht="16.5" customHeight="1" thickBot="1">
      <c r="A40" s="17">
        <f>IF(OR(C40=2,C40=8),"F","U")</f>
        <v/>
      </c>
      <c r="B40" s="46">
        <f>B39+1</f>
        <v/>
      </c>
      <c r="C40" s="393">
        <f>WEEKDAY(B40)+1</f>
        <v/>
      </c>
      <c r="D40" s="305" t="n"/>
      <c r="E40" s="296" t="n"/>
      <c r="F40" s="371" t="n">
        <v>0</v>
      </c>
      <c r="G40" s="372" t="n">
        <v>0</v>
      </c>
      <c r="H40" s="372" t="n">
        <v>0</v>
      </c>
      <c r="I40" s="373" t="n">
        <v>0</v>
      </c>
      <c r="J40" s="415" t="n"/>
      <c r="K40" s="341" t="n"/>
      <c r="L40" s="329">
        <f>IF(A40="U",(G40-F40)+(I40-H40)+(K40-J40),"NÃO ÚTIL")</f>
        <v/>
      </c>
      <c r="M40" s="330">
        <f>IF(A40="U",L7,"NÃO ÚTIL")</f>
        <v/>
      </c>
      <c r="N40" s="331">
        <f>IF(A40="U",(L40-M40),"NÃO ÚTIL")</f>
        <v/>
      </c>
      <c r="O40" s="47" t="n"/>
      <c r="P40" s="332">
        <f>IF(N40="não útil",0,N40)</f>
        <v/>
      </c>
      <c r="Q40" s="337">
        <f>P40+Q39</f>
        <v/>
      </c>
      <c r="R40" s="332">
        <f>Q40+$Q$4</f>
        <v/>
      </c>
      <c r="S40" s="47">
        <f>IF(B40=T40,"HOJE",".")</f>
        <v/>
      </c>
      <c r="T40" s="62">
        <f>TODAY()</f>
        <v/>
      </c>
      <c r="U40" s="332">
        <f>IF(S40="HOJE",R40,0)</f>
        <v/>
      </c>
      <c r="V40" s="47" t="n"/>
    </row>
    <row r="41" ht="16.5" customHeight="1" thickBot="1">
      <c r="A41" s="17">
        <f>IF(OR(C41=2,C41=8),"F","U")</f>
        <v/>
      </c>
      <c r="B41" s="46">
        <f>B40+1</f>
        <v/>
      </c>
      <c r="C41" s="393">
        <f>WEEKDAY(B41)+1</f>
        <v/>
      </c>
      <c r="D41" s="305" t="n"/>
      <c r="E41" s="296" t="n"/>
      <c r="F41" s="371" t="n">
        <v>0</v>
      </c>
      <c r="G41" s="372" t="n">
        <v>0</v>
      </c>
      <c r="H41" s="372" t="n">
        <v>0</v>
      </c>
      <c r="I41" s="373" t="n">
        <v>0</v>
      </c>
      <c r="J41" s="420" t="n"/>
      <c r="K41" s="339" t="n"/>
      <c r="L41" s="329">
        <f>IF(A41="U",(G41-F41)+(I41-H41)+(K41-J41),"NÃO ÚTIL")</f>
        <v/>
      </c>
      <c r="M41" s="330">
        <f>IF(A41="U",L7,"NÃO ÚTIL")</f>
        <v/>
      </c>
      <c r="N41" s="331">
        <f>IF(A41="U",(L41-M41),"NÃO ÚTIL")</f>
        <v/>
      </c>
      <c r="O41" s="47" t="n"/>
      <c r="P41" s="332">
        <f>IF(N41="não útil",0,N41)</f>
        <v/>
      </c>
      <c r="Q41" s="337">
        <f>P41+Q40</f>
        <v/>
      </c>
      <c r="R41" s="332">
        <f>Q41+$Q$4</f>
        <v/>
      </c>
      <c r="S41" s="47">
        <f>IF(B41=T41,"HOJE",".")</f>
        <v/>
      </c>
      <c r="T41" s="62">
        <f>TODAY()</f>
        <v/>
      </c>
      <c r="U41" s="332">
        <f>IF(S41="HOJE",R41,0)</f>
        <v/>
      </c>
      <c r="V41" s="47" t="n"/>
    </row>
    <row r="42" ht="16.5" customHeight="1" thickBot="1">
      <c r="A42" s="17">
        <f>IF(OR(C42=2,C42=8),"F","U")</f>
        <v/>
      </c>
      <c r="B42" s="46">
        <f>B41+1</f>
        <v/>
      </c>
      <c r="C42" s="393">
        <f>WEEKDAY(B42)+1</f>
        <v/>
      </c>
      <c r="D42" s="305" t="n"/>
      <c r="E42" s="296" t="n"/>
      <c r="F42" s="371" t="n">
        <v>0</v>
      </c>
      <c r="G42" s="372" t="n">
        <v>0</v>
      </c>
      <c r="H42" s="372" t="n">
        <v>0</v>
      </c>
      <c r="I42" s="373" t="n">
        <v>0</v>
      </c>
      <c r="J42" s="420" t="n"/>
      <c r="K42" s="341" t="n"/>
      <c r="L42" s="329">
        <f>IF(A42="U",(G42-F42)+(I42-H42)+(K42-J42),"NÃO ÚTIL")</f>
        <v/>
      </c>
      <c r="M42" s="330">
        <f>IF(A42="U",L7,"NÃO ÚTIL")</f>
        <v/>
      </c>
      <c r="N42" s="331">
        <f>IF(A42="U",(L42-M42),"NÃO ÚTIL")</f>
        <v/>
      </c>
      <c r="O42" s="47" t="n"/>
      <c r="P42" s="332">
        <f>IF(N42="não útil",0,N42)</f>
        <v/>
      </c>
      <c r="Q42" s="337">
        <f>P42+Q41</f>
        <v/>
      </c>
      <c r="R42" s="332">
        <f>Q42+$Q$4</f>
        <v/>
      </c>
      <c r="S42" s="47">
        <f>IF(B42=T42,"HOJE",".")</f>
        <v/>
      </c>
      <c r="T42" s="62">
        <f>TODAY()</f>
        <v/>
      </c>
      <c r="U42" s="332">
        <f>IF(S42="HOJE",R42,0)</f>
        <v/>
      </c>
      <c r="V42" s="47" t="n"/>
    </row>
    <row r="43" ht="16.5" customHeight="1" thickBot="1">
      <c r="A43" s="17">
        <f>IF(OR(C43=2,C43=8),"F","U")</f>
        <v/>
      </c>
      <c r="B43" s="46">
        <f>B42+1</f>
        <v/>
      </c>
      <c r="C43" s="393">
        <f>WEEKDAY(B43)+1</f>
        <v/>
      </c>
      <c r="D43" s="305" t="n"/>
      <c r="E43" s="296" t="n"/>
      <c r="F43" s="371" t="n">
        <v>0</v>
      </c>
      <c r="G43" s="372" t="n">
        <v>0</v>
      </c>
      <c r="H43" s="372" t="n">
        <v>0</v>
      </c>
      <c r="I43" s="373" t="n">
        <v>0</v>
      </c>
      <c r="J43" s="420" t="n"/>
      <c r="K43" s="339" t="n"/>
      <c r="L43" s="329">
        <f>IF(A43="U",(G43-F43)+(I43-H43)+(K43-J43),"NÃO ÚTIL")</f>
        <v/>
      </c>
      <c r="M43" s="330">
        <f>IF(A43="U",L7,"NÃO ÚTIL")</f>
        <v/>
      </c>
      <c r="N43" s="331">
        <f>IF(A43="U",(L43-M43),"NÃO ÚTIL")</f>
        <v/>
      </c>
      <c r="O43" s="47" t="n"/>
      <c r="P43" s="332">
        <f>IF(N43="não útil",0,N43)</f>
        <v/>
      </c>
      <c r="Q43" s="337">
        <f>P43+Q42</f>
        <v/>
      </c>
      <c r="R43" s="332">
        <f>Q43+$Q$4</f>
        <v/>
      </c>
      <c r="S43" s="47">
        <f>IF(B43=T43,"HOJE",".")</f>
        <v/>
      </c>
      <c r="T43" s="62">
        <f>TODAY()</f>
        <v/>
      </c>
      <c r="U43" s="332">
        <f>IF(S43="HOJE",R43,0)</f>
        <v/>
      </c>
      <c r="V43" s="47" t="n"/>
    </row>
    <row r="44" ht="16.5" customHeight="1" thickBot="1">
      <c r="A44" s="17">
        <f>IF(OR(C44=2,C44=8),"F","U")</f>
        <v/>
      </c>
      <c r="B44" s="46">
        <f>B43+1</f>
        <v/>
      </c>
      <c r="C44" s="393">
        <f>WEEKDAY(B44)+1</f>
        <v/>
      </c>
      <c r="D44" s="305" t="n"/>
      <c r="E44" s="296" t="n"/>
      <c r="F44" s="371" t="n">
        <v>0</v>
      </c>
      <c r="G44" s="372" t="n">
        <v>0</v>
      </c>
      <c r="H44" s="372" t="n">
        <v>0</v>
      </c>
      <c r="I44" s="373" t="n">
        <v>0</v>
      </c>
      <c r="J44" s="414" t="n"/>
      <c r="K44" s="339" t="n"/>
      <c r="L44" s="329">
        <f>IF(A44="U",(G44-F44)+(I44-H44)+(K44-J44),"NÃO ÚTIL")</f>
        <v/>
      </c>
      <c r="M44" s="330">
        <f>IF(A44="U",L7,"NÃO ÚTIL")</f>
        <v/>
      </c>
      <c r="N44" s="331">
        <f>IF(A44="U",(L44-M44),"NÃO ÚTIL")</f>
        <v/>
      </c>
      <c r="O44" s="47" t="n"/>
      <c r="P44" s="332">
        <f>IF(N44="não útil",0,N44)</f>
        <v/>
      </c>
      <c r="Q44" s="337">
        <f>P44+Q43</f>
        <v/>
      </c>
      <c r="R44" s="332">
        <f>Q44+$Q$4</f>
        <v/>
      </c>
      <c r="S44" s="47">
        <f>IF(B44=T44,"HOJE",".")</f>
        <v/>
      </c>
      <c r="T44" s="62">
        <f>TODAY()</f>
        <v/>
      </c>
      <c r="U44" s="332">
        <f>IF(S44="HOJE",R44,0)</f>
        <v/>
      </c>
      <c r="V44" s="47" t="n"/>
    </row>
    <row r="45" ht="23.25" customHeight="1" thickBot="1">
      <c r="A45" s="346" t="inlineStr">
        <is>
          <t>TOTAL MÊS:</t>
        </is>
      </c>
      <c r="B45" s="347" t="n"/>
      <c r="C45" s="347" t="n"/>
      <c r="D45" s="347" t="n"/>
      <c r="E45" s="347" t="n"/>
      <c r="F45" s="347" t="n"/>
      <c r="G45" s="347" t="n"/>
      <c r="H45" s="347" t="n"/>
      <c r="I45" s="347" t="n"/>
      <c r="J45" s="347" t="n"/>
      <c r="K45" s="348" t="n"/>
      <c r="L45" s="349">
        <f>SUM(L14:L43)</f>
        <v/>
      </c>
      <c r="M45" s="349">
        <f>SUM(M14:M43)</f>
        <v/>
      </c>
      <c r="N45" s="350">
        <f>SUM(N14:N43)</f>
        <v/>
      </c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 ht="12" customHeight="1" thickBot="1">
      <c r="A46" s="247" t="inlineStr">
        <is>
          <t>OBS:</t>
        </is>
      </c>
      <c r="B46" s="292" t="n"/>
      <c r="C46" s="160" t="n"/>
      <c r="D46" s="292" t="n"/>
      <c r="E46" s="292" t="n"/>
      <c r="F46" s="292" t="n"/>
      <c r="G46" s="292" t="n"/>
      <c r="H46" s="292" t="n"/>
      <c r="I46" s="293" t="n"/>
      <c r="J46" s="161" t="n"/>
      <c r="K46" s="347" t="n"/>
      <c r="L46" s="347" t="n"/>
      <c r="M46" s="347" t="n"/>
      <c r="N46" s="352" t="inlineStr">
        <is>
          <t>HORA (S)</t>
        </is>
      </c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 ht="12" customHeight="1" thickBot="1">
      <c r="A47" s="106" t="n"/>
      <c r="B47" s="297" t="n"/>
      <c r="C47" s="297" t="n"/>
      <c r="D47" s="297" t="n"/>
      <c r="E47" s="297" t="n"/>
      <c r="F47" s="297" t="n"/>
      <c r="G47" s="297" t="n"/>
      <c r="H47" s="297" t="n"/>
      <c r="I47" s="298" t="n"/>
      <c r="J47" s="353" t="inlineStr">
        <is>
          <t>CARGA HORÁRIA TRABAHADA (MÊS)</t>
        </is>
      </c>
      <c r="K47" s="354" t="n"/>
      <c r="L47" s="355" t="n"/>
      <c r="M47" s="356">
        <f>L45</f>
        <v/>
      </c>
      <c r="N47" s="355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 ht="12" customHeight="1" thickBot="1">
      <c r="A48" s="106" t="n"/>
      <c r="B48" s="297" t="n"/>
      <c r="C48" s="297" t="n"/>
      <c r="D48" s="297" t="n"/>
      <c r="E48" s="297" t="n"/>
      <c r="F48" s="297" t="n"/>
      <c r="G48" s="297" t="n"/>
      <c r="H48" s="297" t="n"/>
      <c r="I48" s="298" t="n"/>
      <c r="J48" s="322" t="n"/>
      <c r="K48" s="322" t="n"/>
      <c r="L48" s="318" t="n"/>
      <c r="M48" s="321" t="n"/>
      <c r="N48" s="318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12" customHeight="1" thickBot="1">
      <c r="A49" s="106" t="n"/>
      <c r="B49" s="297" t="n"/>
      <c r="C49" s="297" t="n"/>
      <c r="D49" s="297" t="n"/>
      <c r="E49" s="297" t="n"/>
      <c r="F49" s="297" t="n"/>
      <c r="G49" s="297" t="n"/>
      <c r="H49" s="297" t="n"/>
      <c r="I49" s="298" t="n"/>
      <c r="J49" s="353" t="inlineStr">
        <is>
          <t>CARGA HORÁRIA PREVISTA (MÊS)</t>
        </is>
      </c>
      <c r="K49" s="354" t="n"/>
      <c r="L49" s="355" t="n"/>
      <c r="M49" s="356">
        <f>M45</f>
        <v/>
      </c>
      <c r="N49" s="355" t="n"/>
      <c r="O49" s="47" t="n"/>
      <c r="P49" s="47" t="n"/>
      <c r="Q49" s="47" t="n"/>
      <c r="R49" s="47" t="n"/>
      <c r="S49" s="47" t="n"/>
      <c r="T49" s="47" t="n"/>
      <c r="U49" s="47" t="n"/>
      <c r="V49" s="47" t="n"/>
    </row>
    <row r="50" ht="12" customHeight="1" thickBot="1">
      <c r="A50" s="106" t="n"/>
      <c r="B50" s="297" t="n"/>
      <c r="C50" s="297" t="n"/>
      <c r="D50" s="297" t="n"/>
      <c r="E50" s="297" t="n"/>
      <c r="F50" s="297" t="n"/>
      <c r="G50" s="297" t="n"/>
      <c r="H50" s="297" t="n"/>
      <c r="I50" s="298" t="n"/>
      <c r="J50" s="322" t="n"/>
      <c r="K50" s="322" t="n"/>
      <c r="L50" s="318" t="n"/>
      <c r="M50" s="321" t="n"/>
      <c r="N50" s="318" t="n"/>
      <c r="O50" s="47" t="n"/>
      <c r="P50" s="47" t="n"/>
      <c r="Q50" s="47" t="n"/>
      <c r="R50" s="47" t="n"/>
      <c r="S50" s="47" t="n"/>
      <c r="T50" s="47" t="n"/>
      <c r="U50" s="47" t="n"/>
      <c r="V50" s="47" t="n"/>
    </row>
    <row r="51" ht="12" customHeight="1" thickBot="1">
      <c r="A51" s="106" t="n"/>
      <c r="B51" s="297" t="n"/>
      <c r="C51" s="297" t="n"/>
      <c r="D51" s="297" t="n"/>
      <c r="E51" s="297" t="n"/>
      <c r="F51" s="297" t="n"/>
      <c r="G51" s="297" t="n"/>
      <c r="H51" s="297" t="n"/>
      <c r="I51" s="298" t="n"/>
      <c r="J51" s="357" t="inlineStr">
        <is>
          <t>SALDO CARGA HORÁRIA (MÊS)</t>
        </is>
      </c>
      <c r="K51" s="354" t="n"/>
      <c r="L51" s="355" t="n"/>
      <c r="M51" s="356">
        <f>N45</f>
        <v/>
      </c>
      <c r="N51" s="355" t="n"/>
      <c r="O51" s="47" t="n"/>
      <c r="P51" s="47" t="n"/>
      <c r="Q51" s="47" t="n"/>
      <c r="R51" s="47" t="n"/>
      <c r="S51" s="47" t="n"/>
      <c r="T51" s="47" t="n"/>
      <c r="U51" s="47" t="n"/>
      <c r="V51" s="47" t="n"/>
    </row>
    <row r="52" ht="12" customHeight="1" thickBot="1">
      <c r="A52" s="106" t="n"/>
      <c r="B52" s="297" t="n"/>
      <c r="C52" s="297" t="n"/>
      <c r="D52" s="297" t="n"/>
      <c r="E52" s="297" t="n"/>
      <c r="F52" s="297" t="n"/>
      <c r="G52" s="297" t="n"/>
      <c r="H52" s="297" t="n"/>
      <c r="I52" s="298" t="n"/>
      <c r="J52" s="322" t="n"/>
      <c r="K52" s="322" t="n"/>
      <c r="L52" s="318" t="n"/>
      <c r="M52" s="321" t="n"/>
      <c r="N52" s="318" t="n"/>
      <c r="O52" s="47" t="n"/>
      <c r="P52" s="47" t="n"/>
      <c r="Q52" s="47" t="n"/>
      <c r="R52" s="47" t="n"/>
      <c r="S52" s="47" t="n"/>
      <c r="T52" s="47" t="n"/>
      <c r="U52" s="47" t="n"/>
      <c r="V52" s="47" t="n"/>
    </row>
    <row r="53" ht="12" customHeight="1">
      <c r="A53" s="106" t="n"/>
      <c r="B53" s="297" t="n"/>
      <c r="C53" s="297" t="n"/>
      <c r="D53" s="297" t="n"/>
      <c r="E53" s="297" t="n"/>
      <c r="F53" s="297" t="n"/>
      <c r="G53" s="297" t="n"/>
      <c r="H53" s="297" t="n"/>
      <c r="I53" s="298" t="n"/>
      <c r="J53" s="357" t="inlineStr">
        <is>
          <t>SALDO MÊS ANTERIOR</t>
        </is>
      </c>
      <c r="K53" s="354" t="n"/>
      <c r="L53" s="355" t="n"/>
      <c r="M53" s="356">
        <f>NOV!M54</f>
        <v/>
      </c>
      <c r="N53" s="355" t="n"/>
      <c r="O53" s="47" t="n"/>
      <c r="P53" s="47" t="n"/>
      <c r="Q53" s="47" t="n"/>
      <c r="R53" s="47" t="n"/>
      <c r="S53" s="47" t="n"/>
      <c r="T53" s="47" t="n"/>
      <c r="U53" s="47" t="n"/>
      <c r="V53" s="47" t="n"/>
    </row>
    <row r="54" ht="12" customHeight="1" thickBot="1">
      <c r="A54" s="106" t="n"/>
      <c r="B54" s="297" t="n"/>
      <c r="C54" s="297" t="n"/>
      <c r="D54" s="297" t="n"/>
      <c r="E54" s="297" t="n"/>
      <c r="F54" s="297" t="n"/>
      <c r="G54" s="297" t="n"/>
      <c r="H54" s="297" t="n"/>
      <c r="I54" s="298" t="n"/>
      <c r="J54" s="322" t="n"/>
      <c r="K54" s="322" t="n"/>
      <c r="L54" s="318" t="n"/>
      <c r="M54" s="321" t="n"/>
      <c r="N54" s="318" t="n"/>
      <c r="O54" s="47" t="n"/>
      <c r="P54" s="47" t="n"/>
      <c r="Q54" s="47" t="n"/>
      <c r="R54" s="47" t="n"/>
      <c r="S54" s="47" t="n"/>
      <c r="T54" s="47" t="n"/>
      <c r="U54" s="47" t="n"/>
      <c r="V54" s="47" t="n"/>
    </row>
    <row r="55" ht="12" customHeight="1">
      <c r="A55" s="106" t="n"/>
      <c r="B55" s="297" t="n"/>
      <c r="C55" s="297" t="n"/>
      <c r="D55" s="297" t="n"/>
      <c r="E55" s="297" t="n"/>
      <c r="F55" s="297" t="n"/>
      <c r="G55" s="297" t="n"/>
      <c r="H55" s="297" t="n"/>
      <c r="I55" s="298" t="n"/>
      <c r="J55" s="362" t="inlineStr">
        <is>
          <t>SALDO TOTAL</t>
        </is>
      </c>
      <c r="K55" s="354" t="n"/>
      <c r="L55" s="355" t="n"/>
      <c r="M55" s="356">
        <f>SUM(M51:N54)</f>
        <v/>
      </c>
      <c r="N55" s="355" t="n"/>
      <c r="O55" s="47" t="n"/>
      <c r="P55" s="47" t="n"/>
      <c r="Q55" s="47" t="n"/>
      <c r="R55" s="47" t="n"/>
      <c r="S55" s="47" t="n"/>
      <c r="T55" s="47" t="n"/>
      <c r="U55" s="47" t="n"/>
      <c r="V55" s="47" t="n"/>
    </row>
    <row r="56" ht="12" customHeight="1" thickBot="1">
      <c r="A56" s="106" t="n"/>
      <c r="B56" s="297" t="n"/>
      <c r="C56" s="297" t="n"/>
      <c r="D56" s="297" t="n"/>
      <c r="E56" s="297" t="n"/>
      <c r="F56" s="297" t="n"/>
      <c r="G56" s="297" t="n"/>
      <c r="H56" s="297" t="n"/>
      <c r="I56" s="298" t="n"/>
      <c r="J56" s="322" t="n"/>
      <c r="K56" s="322" t="n"/>
      <c r="L56" s="318" t="n"/>
      <c r="M56" s="321" t="n"/>
      <c r="N56" s="318" t="n"/>
      <c r="O56" s="47" t="n"/>
      <c r="P56" s="47" t="n"/>
      <c r="Q56" s="47" t="n"/>
      <c r="R56" s="47" t="n"/>
      <c r="S56" s="47" t="n"/>
      <c r="T56" s="47" t="n"/>
      <c r="U56" s="47" t="n"/>
      <c r="V56" s="47" t="n"/>
    </row>
    <row r="57" ht="12" customHeight="1" thickBot="1">
      <c r="A57" s="106" t="n"/>
      <c r="B57" s="297" t="n"/>
      <c r="C57" s="297" t="n"/>
      <c r="D57" s="297" t="n"/>
      <c r="E57" s="297" t="n"/>
      <c r="F57" s="297" t="n"/>
      <c r="G57" s="297" t="n"/>
      <c r="H57" s="297" t="n"/>
      <c r="I57" s="298" t="n"/>
      <c r="J57" s="357" t="inlineStr">
        <is>
          <t>SALDO: CREDOR? DEVEDOR?</t>
        </is>
      </c>
      <c r="K57" s="354" t="n"/>
      <c r="L57" s="355" t="n"/>
      <c r="M57" s="363">
        <f>IF(M55&lt;0,"DVEEDOR","CREDOR")</f>
        <v/>
      </c>
      <c r="N57" s="355" t="n"/>
      <c r="O57" s="47" t="n"/>
      <c r="P57" s="47" t="n"/>
      <c r="Q57" s="47" t="n"/>
      <c r="R57" s="47" t="n"/>
      <c r="S57" s="47" t="n"/>
      <c r="T57" s="47" t="n"/>
      <c r="U57" s="47" t="n"/>
      <c r="V57" s="47" t="n"/>
    </row>
    <row r="58" ht="12" customHeight="1" thickBot="1">
      <c r="A58" s="106" t="n"/>
      <c r="B58" s="297" t="n"/>
      <c r="C58" s="297" t="n"/>
      <c r="D58" s="297" t="n"/>
      <c r="E58" s="297" t="n"/>
      <c r="F58" s="297" t="n"/>
      <c r="G58" s="297" t="n"/>
      <c r="H58" s="297" t="n"/>
      <c r="I58" s="298" t="n"/>
      <c r="J58" s="322" t="n"/>
      <c r="K58" s="322" t="n"/>
      <c r="L58" s="318" t="n"/>
      <c r="M58" s="321" t="n"/>
      <c r="N58" s="318" t="n"/>
      <c r="O58" s="47" t="n"/>
      <c r="P58" s="47" t="n"/>
      <c r="Q58" s="47" t="n"/>
      <c r="R58" s="47" t="n"/>
      <c r="S58" s="47" t="n"/>
      <c r="T58" s="47" t="n"/>
      <c r="U58" s="47" t="n"/>
      <c r="V58" s="47" t="n"/>
    </row>
    <row r="59" ht="12" customHeight="1">
      <c r="A59" s="106" t="n"/>
      <c r="B59" s="297" t="n"/>
      <c r="C59" s="297" t="n"/>
      <c r="D59" s="297" t="n"/>
      <c r="E59" s="297" t="n"/>
      <c r="F59" s="297" t="n"/>
      <c r="G59" s="297" t="n"/>
      <c r="H59" s="297" t="n"/>
      <c r="I59" s="298" t="n"/>
      <c r="J59" s="260" t="n"/>
      <c r="K59" s="354" t="n"/>
      <c r="L59" s="355" t="n"/>
      <c r="M59" s="364" t="n"/>
      <c r="N59" s="355" t="n"/>
      <c r="O59" s="47" t="n"/>
      <c r="P59" s="47" t="n"/>
      <c r="Q59" s="47" t="n"/>
      <c r="R59" s="47" t="n"/>
      <c r="S59" s="47" t="n"/>
      <c r="T59" s="47" t="n"/>
      <c r="U59" s="47" t="n"/>
      <c r="V59" s="47" t="n"/>
    </row>
    <row r="60" ht="12" customHeight="1" thickBot="1">
      <c r="A60" s="106" t="n"/>
      <c r="B60" s="297" t="n"/>
      <c r="C60" s="297" t="n"/>
      <c r="D60" s="297" t="n"/>
      <c r="E60" s="297" t="n"/>
      <c r="F60" s="297" t="n"/>
      <c r="G60" s="297" t="n"/>
      <c r="H60" s="297" t="n"/>
      <c r="I60" s="298" t="n"/>
      <c r="J60" s="322" t="n"/>
      <c r="K60" s="322" t="n"/>
      <c r="L60" s="318" t="n"/>
      <c r="M60" s="321" t="n"/>
      <c r="N60" s="318" t="n"/>
      <c r="O60" s="47" t="n"/>
      <c r="P60" s="47" t="n"/>
      <c r="Q60" s="47" t="n"/>
      <c r="R60" s="47" t="n"/>
      <c r="S60" s="47" t="n"/>
      <c r="T60" s="47" t="n"/>
      <c r="U60" s="47" t="n"/>
      <c r="V60" s="47" t="n"/>
    </row>
    <row r="61" ht="12" customHeight="1" thickBot="1">
      <c r="A61" s="106" t="n"/>
      <c r="B61" s="297" t="n"/>
      <c r="C61" s="297" t="n"/>
      <c r="D61" s="297" t="n"/>
      <c r="E61" s="297" t="n"/>
      <c r="F61" s="297" t="n"/>
      <c r="G61" s="297" t="n"/>
      <c r="H61" s="297" t="n"/>
      <c r="I61" s="298" t="n"/>
      <c r="J61" s="280" t="n"/>
      <c r="K61" s="280" t="n"/>
      <c r="L61" s="281" t="n"/>
      <c r="M61" s="421" t="n"/>
      <c r="N61" s="422" t="n"/>
      <c r="O61" s="47" t="n"/>
      <c r="P61" s="47" t="n"/>
      <c r="Q61" s="47" t="n"/>
      <c r="R61" s="47" t="n"/>
      <c r="S61" s="47" t="n"/>
      <c r="T61" s="47" t="n"/>
      <c r="U61" s="47" t="n"/>
      <c r="V61" s="47" t="n"/>
    </row>
    <row r="62" ht="12" customHeight="1" thickBot="1">
      <c r="A62" s="116" t="n"/>
      <c r="B62" s="312" t="n"/>
      <c r="C62" s="312" t="n"/>
      <c r="D62" s="312" t="n"/>
      <c r="E62" s="312" t="n"/>
      <c r="F62" s="312" t="n"/>
      <c r="G62" s="312" t="n"/>
      <c r="H62" s="312" t="n"/>
      <c r="I62" s="313" t="n"/>
      <c r="J62" s="281" t="n"/>
      <c r="K62" s="322" t="n"/>
      <c r="L62" s="318" t="n"/>
      <c r="M62" s="423" t="n"/>
      <c r="N62" s="318" t="n"/>
      <c r="O62" s="47" t="n"/>
      <c r="P62" s="47" t="n"/>
      <c r="Q62" s="47" t="n"/>
      <c r="R62" s="47" t="n"/>
      <c r="S62" s="47" t="n"/>
      <c r="T62" s="47" t="n"/>
      <c r="U62" s="47" t="n"/>
      <c r="V62" s="47" t="n"/>
    </row>
    <row r="63">
      <c r="A63" s="51" t="n"/>
      <c r="B63" s="51" t="n"/>
      <c r="C63" s="51" t="n"/>
      <c r="D63" s="51" t="n"/>
      <c r="E63" s="51" t="n"/>
      <c r="F63" s="51" t="n"/>
      <c r="G63" s="51" t="n"/>
      <c r="H63" s="51" t="n"/>
      <c r="I63" s="51" t="n"/>
      <c r="J63" s="51" t="n"/>
      <c r="K63" s="51" t="n"/>
      <c r="L63" s="104" t="inlineStr">
        <is>
          <t>Colaboração do Tônio</t>
        </is>
      </c>
      <c r="M63" s="354" t="n"/>
      <c r="N63" s="354" t="n"/>
      <c r="O63" s="47" t="n"/>
    </row>
  </sheetData>
  <mergeCells count="95">
    <mergeCell ref="C44:E44"/>
    <mergeCell ref="A12:E13"/>
    <mergeCell ref="C31:E31"/>
    <mergeCell ref="J10:K10"/>
    <mergeCell ref="C40:E40"/>
    <mergeCell ref="A56:I56"/>
    <mergeCell ref="C21:E21"/>
    <mergeCell ref="M57:N58"/>
    <mergeCell ref="A7:B7"/>
    <mergeCell ref="C23:E23"/>
    <mergeCell ref="A53:I53"/>
    <mergeCell ref="A62:I62"/>
    <mergeCell ref="R12:S12"/>
    <mergeCell ref="J59:L60"/>
    <mergeCell ref="C18:E18"/>
    <mergeCell ref="J55:L56"/>
    <mergeCell ref="M49:N50"/>
    <mergeCell ref="C34:E34"/>
    <mergeCell ref="A48:I48"/>
    <mergeCell ref="C42:E42"/>
    <mergeCell ref="A59:I59"/>
    <mergeCell ref="M62:N62"/>
    <mergeCell ref="A61:I61"/>
    <mergeCell ref="J47:L48"/>
    <mergeCell ref="C20:E20"/>
    <mergeCell ref="C25:E25"/>
    <mergeCell ref="C8:I8"/>
    <mergeCell ref="A11:B11"/>
    <mergeCell ref="C22:E22"/>
    <mergeCell ref="L8:N8"/>
    <mergeCell ref="J51:L52"/>
    <mergeCell ref="L63:N63"/>
    <mergeCell ref="J57:L58"/>
    <mergeCell ref="C39:E39"/>
    <mergeCell ref="A46:B46"/>
    <mergeCell ref="C32:E32"/>
    <mergeCell ref="C38:E38"/>
    <mergeCell ref="A52:I52"/>
    <mergeCell ref="A3:N3"/>
    <mergeCell ref="J49:L50"/>
    <mergeCell ref="A5:N5"/>
    <mergeCell ref="A8:B8"/>
    <mergeCell ref="C15:E15"/>
    <mergeCell ref="F11:H11"/>
    <mergeCell ref="C24:E24"/>
    <mergeCell ref="H12:I12"/>
    <mergeCell ref="C33:E33"/>
    <mergeCell ref="J12:K12"/>
    <mergeCell ref="A49:I49"/>
    <mergeCell ref="A4:N4"/>
    <mergeCell ref="M51:N52"/>
    <mergeCell ref="C26:E26"/>
    <mergeCell ref="C46:I46"/>
    <mergeCell ref="C35:E35"/>
    <mergeCell ref="C16:E16"/>
    <mergeCell ref="K9:L9"/>
    <mergeCell ref="J46:M46"/>
    <mergeCell ref="C7:I7"/>
    <mergeCell ref="A55:I55"/>
    <mergeCell ref="A45:K45"/>
    <mergeCell ref="K6:N6"/>
    <mergeCell ref="C11:E11"/>
    <mergeCell ref="C36:E36"/>
    <mergeCell ref="A57:I57"/>
    <mergeCell ref="M53:N54"/>
    <mergeCell ref="M47:N48"/>
    <mergeCell ref="C28:E28"/>
    <mergeCell ref="C37:E37"/>
    <mergeCell ref="M59:N60"/>
    <mergeCell ref="A2:N2"/>
    <mergeCell ref="C10:I10"/>
    <mergeCell ref="C30:E30"/>
    <mergeCell ref="C14:E14"/>
    <mergeCell ref="C9:I9"/>
    <mergeCell ref="I11:N11"/>
    <mergeCell ref="P12:Q12"/>
    <mergeCell ref="C41:E41"/>
    <mergeCell ref="A50:I50"/>
    <mergeCell ref="C43:E43"/>
    <mergeCell ref="A6:B6"/>
    <mergeCell ref="F12:G12"/>
    <mergeCell ref="C27:E27"/>
    <mergeCell ref="A47:I47"/>
    <mergeCell ref="J53:L54"/>
    <mergeCell ref="C17:E17"/>
    <mergeCell ref="C6:I6"/>
    <mergeCell ref="C19:E19"/>
    <mergeCell ref="J62:L62"/>
    <mergeCell ref="J7:K7"/>
    <mergeCell ref="A58:I58"/>
    <mergeCell ref="M55:N56"/>
    <mergeCell ref="A51:I51"/>
    <mergeCell ref="A60:I60"/>
    <mergeCell ref="C29:E29"/>
    <mergeCell ref="A54:I54"/>
  </mergeCells>
  <conditionalFormatting sqref="A14:A44">
    <cfRule type="containsText" priority="62" operator="containsText" dxfId="25" stopIfTrue="1" text="F">
      <formula>NOT(ISERROR(SEARCH("F",A14)))</formula>
    </cfRule>
  </conditionalFormatting>
  <conditionalFormatting sqref="C14:E44">
    <cfRule type="cellIs" priority="60" operator="equal" dxfId="11" stopIfTrue="1">
      <formula>2</formula>
    </cfRule>
    <cfRule type="cellIs" priority="61" operator="equal" dxfId="11" stopIfTrue="1">
      <formula>8</formula>
    </cfRule>
  </conditionalFormatting>
  <conditionalFormatting sqref="L45">
    <cfRule type="cellIs" priority="55" operator="equal" dxfId="10" stopIfTrue="1">
      <formula>0</formula>
    </cfRule>
  </conditionalFormatting>
  <conditionalFormatting sqref="L14:M44">
    <cfRule type="cellIs" priority="57" operator="equal" dxfId="10" stopIfTrue="1">
      <formula>0</formula>
    </cfRule>
  </conditionalFormatting>
  <conditionalFormatting sqref="L14:N45">
    <cfRule type="cellIs" priority="56" operator="greaterThan" dxfId="10" stopIfTrue="1">
      <formula>0</formula>
    </cfRule>
    <cfRule type="cellIs" priority="58" operator="lessThan" dxfId="11" stopIfTrue="1">
      <formula>0</formula>
    </cfRule>
  </conditionalFormatting>
  <conditionalFormatting sqref="M47:N48">
    <cfRule type="cellIs" priority="51" operator="equal" dxfId="10" stopIfTrue="1">
      <formula>0</formula>
    </cfRule>
  </conditionalFormatting>
  <conditionalFormatting sqref="M47:N52 M53 M55 M57:N58 M59">
    <cfRule type="cellIs" priority="53" operator="greaterThan" dxfId="10" stopIfTrue="1">
      <formula>0</formula>
    </cfRule>
    <cfRule type="cellIs" priority="54" operator="lessThan" dxfId="11" stopIfTrue="1">
      <formula>0</formula>
    </cfRule>
  </conditionalFormatting>
  <conditionalFormatting sqref="M51:N52 M53 M55">
    <cfRule type="cellIs" priority="52" operator="equal" dxfId="14" stopIfTrue="1">
      <formula>0</formula>
    </cfRule>
  </conditionalFormatting>
  <conditionalFormatting sqref="M57:N58 M59">
    <cfRule type="cellIs" priority="48" operator="equal" dxfId="13" stopIfTrue="1">
      <formula>0</formula>
    </cfRule>
  </conditionalFormatting>
  <conditionalFormatting sqref="N14:N44">
    <cfRule type="cellIs" priority="59" operator="equal" dxfId="10" stopIfTrue="1">
      <formula>0</formula>
    </cfRule>
  </conditionalFormatting>
  <conditionalFormatting sqref="N14:N45">
    <cfRule type="cellIs" priority="63" operator="equal" dxfId="4" stopIfTrue="1">
      <formula>0</formula>
    </cfRule>
  </conditionalFormatting>
  <pageMargins left="0.1181102362204725" right="0.1181102362204725" top="0.3937007874015748" bottom="0.5905511811023623" header="0.3149606299212598" footer="0.3149606299212598"/>
  <pageSetup orientation="portrait" paperSize="9" scale="80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Agnaldo Pimentel</dc:creator>
  <dcterms:created xmlns:dcterms="http://purl.org/dc/terms/" xmlns:xsi="http://www.w3.org/2001/XMLSchema-instance" xsi:type="dcterms:W3CDTF">2015-12-17T13:19:32Z</dcterms:created>
  <dcterms:modified xmlns:dcterms="http://purl.org/dc/terms/" xmlns:xsi="http://www.w3.org/2001/XMLSchema-instance" xsi:type="dcterms:W3CDTF">2026-04-18T02:08:23Z</dcterms:modified>
  <cp:lastModifiedBy>Livya de Matos Lelis</cp:lastModifiedBy>
  <cp:lastPrinted>2017-11-01T16:00:52Z</cp:lastPrinted>
</cp:coreProperties>
</file>