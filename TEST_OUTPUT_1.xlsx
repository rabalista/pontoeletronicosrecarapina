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date1904="1"/>
  <bookViews>
    <workbookView visibility="visible" minimized="0" showHorizontalScroll="1" showVerticalScroll="1" showSheetTabs="1" xWindow="13500" yWindow="0" windowWidth="15300" windowHeight="15600" tabRatio="855" firstSheet="0" activeTab="5" autoFilterDateGrouping="1"/>
  </bookViews>
  <sheets>
    <sheet name="JAN" sheetId="1" state="visible" r:id="rId1"/>
    <sheet name="FEV" sheetId="2" state="visible" r:id="rId2"/>
    <sheet name="MAR" sheetId="3" state="visible" r:id="rId3"/>
    <sheet name="ABR" sheetId="4" state="visible" r:id="rId4"/>
    <sheet name="MAIO" sheetId="5" state="visible" r:id="rId5"/>
    <sheet name="JUN" sheetId="6" state="visible" r:id="rId6"/>
    <sheet name="JUL" sheetId="7" state="visible" r:id="rId7"/>
    <sheet name="AGO" sheetId="8" state="visible" r:id="rId8"/>
    <sheet name="SET" sheetId="9" state="visible" r:id="rId9"/>
    <sheet name="OUT" sheetId="10" state="visible" r:id="rId10"/>
    <sheet name="NOV" sheetId="11" state="visible" r:id="rId11"/>
    <sheet name="DEZ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[h]:mm:ss;@"/>
    <numFmt numFmtId="165" formatCode="dd&quot;d&quot;\ hh&quot;h &quot;mm&quot;m&quot;"/>
    <numFmt numFmtId="166" formatCode="[$-F400]h:mm:ss\ AM/PM"/>
    <numFmt numFmtId="167" formatCode="dddd"/>
    <numFmt numFmtId="168" formatCode="[$-416]mmmm\-yy;@"/>
    <numFmt numFmtId="169" formatCode="hh:mm:ss"/>
  </numFmts>
  <fonts count="34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2"/>
      <scheme val="minor"/>
    </font>
    <font>
      <name val="Agency FB"/>
      <family val="2"/>
      <b val="1"/>
      <color rgb="FFFF0000"/>
      <sz val="18"/>
    </font>
    <font>
      <name val="Calibri"/>
      <family val="2"/>
      <b val="1"/>
      <color rgb="FFFFFF00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indexed="12"/>
      <sz val="11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b val="1"/>
      <color rgb="FF0000FF"/>
      <sz val="8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Agency FB"/>
      <family val="2"/>
      <b val="1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rgb="FFFFFF00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8"/>
      <scheme val="minor"/>
    </font>
    <font>
      <name val="Cambria"/>
      <family val="1"/>
      <color theme="1"/>
      <sz val="11"/>
      <scheme val="major"/>
    </font>
    <font>
      <name val="Calibri"/>
      <family val="2"/>
      <b val="1"/>
      <color rgb="FFFF0000"/>
      <sz val="10"/>
      <scheme val="minor"/>
    </font>
    <font>
      <name val="Calibri"/>
      <family val="2"/>
      <color rgb="FFFF0000"/>
      <sz val="10"/>
      <scheme val="minor"/>
    </font>
    <font>
      <name val="Calibri"/>
      <family val="2"/>
      <color rgb="FF0000FF"/>
      <sz val="11"/>
      <scheme val="minor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color theme="1"/>
      <sz val="5"/>
    </font>
  </fonts>
  <fills count="6">
    <fill>
      <patternFill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28">
    <xf numFmtId="0" fontId="0" fillId="0" borderId="0" pivotButton="0" quotePrefix="0" xfId="0"/>
    <xf numFmtId="0" fontId="6" fillId="2" borderId="2" pivotButton="0" quotePrefix="0" xfId="0"/>
    <xf numFmtId="0" fontId="1" fillId="2" borderId="4" applyAlignment="1" pivotButton="0" quotePrefix="0" xfId="0">
      <alignment vertical="center"/>
    </xf>
    <xf numFmtId="0" fontId="1" fillId="2" borderId="5" applyAlignment="1" pivotButton="0" quotePrefix="0" xfId="0">
      <alignment vertical="center"/>
    </xf>
    <xf numFmtId="0" fontId="1" fillId="2" borderId="5" pivotButton="0" quotePrefix="0" xfId="0"/>
    <xf numFmtId="0" fontId="3" fillId="2" borderId="5" pivotButton="0" quotePrefix="0" xfId="0"/>
    <xf numFmtId="0" fontId="9" fillId="3" borderId="17" applyAlignment="1" pivotButton="0" quotePrefix="0" xfId="0">
      <alignment horizontal="center" vertical="center" wrapText="1"/>
    </xf>
    <xf numFmtId="0" fontId="9" fillId="3" borderId="19" applyAlignment="1" pivotButton="0" quotePrefix="0" xfId="0">
      <alignment horizontal="center" vertical="center" wrapText="1"/>
    </xf>
    <xf numFmtId="0" fontId="9" fillId="3" borderId="18" applyAlignment="1" pivotButton="0" quotePrefix="0" xfId="0">
      <alignment horizontal="center" vertical="center" wrapText="1"/>
    </xf>
    <xf numFmtId="164" fontId="0" fillId="5" borderId="21" applyAlignment="1" applyProtection="1" pivotButton="0" quotePrefix="0" xfId="0">
      <alignment horizontal="center" vertical="center"/>
      <protection locked="0" hidden="0"/>
    </xf>
    <xf numFmtId="164" fontId="0" fillId="5" borderId="22" applyAlignment="1" applyProtection="1" pivotButton="0" quotePrefix="0" xfId="0">
      <alignment horizontal="center" vertical="center"/>
      <protection locked="0" hidden="0"/>
    </xf>
    <xf numFmtId="164" fontId="0" fillId="5" borderId="23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center" vertical="center"/>
      <protection locked="0" hidden="0"/>
    </xf>
    <xf numFmtId="164" fontId="0" fillId="0" borderId="24" applyAlignment="1" applyProtection="1" pivotButton="0" quotePrefix="0" xfId="0">
      <alignment horizontal="center" vertical="center"/>
      <protection locked="0" hidden="0"/>
    </xf>
    <xf numFmtId="164" fontId="13" fillId="0" borderId="25" applyAlignment="1" pivotButton="0" quotePrefix="0" xfId="0">
      <alignment horizontal="center" vertical="center"/>
    </xf>
    <xf numFmtId="164" fontId="13" fillId="5" borderId="18" applyAlignment="1" pivotButton="0" quotePrefix="0" xfId="0">
      <alignment horizontal="center" vertical="center" wrapText="1"/>
    </xf>
    <xf numFmtId="164" fontId="9" fillId="0" borderId="18" applyAlignment="1" pivotButton="0" quotePrefix="0" xfId="0">
      <alignment horizontal="center" vertical="center" wrapText="1"/>
    </xf>
    <xf numFmtId="0" fontId="10" fillId="4" borderId="4" applyAlignment="1" applyProtection="1" pivotButton="0" quotePrefix="0" xfId="0">
      <alignment horizontal="center" vertical="center"/>
      <protection locked="0" hidden="0"/>
    </xf>
    <xf numFmtId="164" fontId="0" fillId="5" borderId="26" applyAlignment="1" applyProtection="1" pivotButton="0" quotePrefix="0" xfId="0">
      <alignment horizontal="center" vertical="center"/>
      <protection locked="0" hidden="0"/>
    </xf>
    <xf numFmtId="164" fontId="0" fillId="5" borderId="27" applyAlignment="1" applyProtection="1" pivotButton="0" quotePrefix="0" xfId="0">
      <alignment horizontal="center" vertical="center"/>
      <protection locked="0" hidden="0"/>
    </xf>
    <xf numFmtId="164" fontId="0" fillId="5" borderId="28" applyAlignment="1" applyProtection="1" pivotButton="0" quotePrefix="0" xfId="0">
      <alignment horizontal="center" vertical="center"/>
      <protection locked="0" hidden="0"/>
    </xf>
    <xf numFmtId="164" fontId="0" fillId="0" borderId="27" applyAlignment="1" applyProtection="1" pivotButton="0" quotePrefix="0" xfId="0">
      <alignment horizontal="center" vertical="center"/>
      <protection locked="0" hidden="0"/>
    </xf>
    <xf numFmtId="164" fontId="0" fillId="0" borderId="29" applyAlignment="1" applyProtection="1" pivotButton="0" quotePrefix="0" xfId="0">
      <alignment horizontal="center" vertical="center"/>
      <protection locked="0" hidden="0"/>
    </xf>
    <xf numFmtId="164" fontId="0" fillId="5" borderId="30" applyAlignment="1" applyProtection="1" pivotButton="0" quotePrefix="0" xfId="0">
      <alignment horizontal="center" vertical="center"/>
      <protection locked="0" hidden="0"/>
    </xf>
    <xf numFmtId="164" fontId="0" fillId="0" borderId="31" applyAlignment="1" applyProtection="1" pivotButton="0" quotePrefix="0" xfId="0">
      <alignment horizontal="center" vertical="center"/>
      <protection locked="0" hidden="0"/>
    </xf>
    <xf numFmtId="164" fontId="0" fillId="0" borderId="32" applyAlignment="1" applyProtection="1" pivotButton="0" quotePrefix="0" xfId="0">
      <alignment horizontal="center" vertical="center"/>
      <protection locked="0" hidden="0"/>
    </xf>
    <xf numFmtId="164" fontId="0" fillId="0" borderId="33" applyAlignment="1" applyProtection="1" pivotButton="0" quotePrefix="0" xfId="0">
      <alignment horizontal="center" vertical="center"/>
      <protection locked="0" hidden="0"/>
    </xf>
    <xf numFmtId="164" fontId="0" fillId="0" borderId="34" applyAlignment="1" applyProtection="1" pivotButton="0" quotePrefix="0" xfId="0">
      <alignment horizontal="center" vertical="center"/>
      <protection locked="0" hidden="0"/>
    </xf>
    <xf numFmtId="164" fontId="14" fillId="5" borderId="27" applyAlignment="1" applyProtection="1" pivotButton="0" quotePrefix="0" xfId="0">
      <alignment horizontal="center" vertical="center"/>
      <protection locked="0" hidden="0"/>
    </xf>
    <xf numFmtId="164" fontId="14" fillId="5" borderId="28" applyAlignment="1" applyProtection="1" pivotButton="0" quotePrefix="0" xfId="0">
      <alignment horizontal="center" vertical="center"/>
      <protection locked="0" hidden="0"/>
    </xf>
    <xf numFmtId="164" fontId="0" fillId="0" borderId="31" applyAlignment="1" applyProtection="1" pivotButton="0" quotePrefix="0" xfId="0">
      <alignment horizontal="left" vertical="center"/>
      <protection locked="0" hidden="0"/>
    </xf>
    <xf numFmtId="164" fontId="0" fillId="0" borderId="33" applyAlignment="1" applyProtection="1" pivotButton="0" quotePrefix="0" xfId="0">
      <alignment horizontal="left" vertical="center"/>
      <protection locked="0" hidden="0"/>
    </xf>
    <xf numFmtId="164" fontId="0" fillId="0" borderId="35" applyAlignment="1" applyProtection="1" pivotButton="0" quotePrefix="0" xfId="0">
      <alignment horizontal="center" vertical="center"/>
      <protection locked="0" hidden="0"/>
    </xf>
    <xf numFmtId="164" fontId="0" fillId="0" borderId="27" applyAlignment="1" applyProtection="1" pivotButton="0" quotePrefix="0" xfId="0">
      <alignment horizontal="left" vertical="center"/>
      <protection locked="0" hidden="0"/>
    </xf>
    <xf numFmtId="164" fontId="0" fillId="0" borderId="17" applyAlignment="1" pivotButton="0" quotePrefix="0" xfId="0">
      <alignment horizontal="center" vertical="center" wrapText="1"/>
    </xf>
    <xf numFmtId="164" fontId="2" fillId="0" borderId="17" applyAlignment="1" pivotButton="0" quotePrefix="0" xfId="0">
      <alignment horizontal="center" vertical="center" wrapText="1"/>
    </xf>
    <xf numFmtId="164" fontId="2" fillId="0" borderId="42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wrapText="1"/>
    </xf>
    <xf numFmtId="0" fontId="7" fillId="2" borderId="5" applyAlignment="1" pivotButton="0" quotePrefix="0" xfId="0">
      <alignment horizontal="left" vertical="center"/>
    </xf>
    <xf numFmtId="164" fontId="6" fillId="2" borderId="6" applyAlignment="1" applyProtection="1" pivotButton="0" quotePrefix="0" xfId="0">
      <alignment horizontal="left" vertical="center"/>
      <protection locked="0" hidden="0"/>
    </xf>
    <xf numFmtId="164" fontId="21" fillId="2" borderId="6" applyAlignment="1" applyProtection="1" pivotButton="0" quotePrefix="0" xfId="0">
      <alignment horizontal="left" vertical="center"/>
      <protection locked="0" hidden="0"/>
    </xf>
    <xf numFmtId="164" fontId="7" fillId="2" borderId="8" applyAlignment="1" applyProtection="1" pivotButton="0" quotePrefix="0" xfId="0">
      <alignment horizontal="center" vertical="center"/>
      <protection locked="0" hidden="0"/>
    </xf>
    <xf numFmtId="0" fontId="1" fillId="2" borderId="10" applyAlignment="1" applyProtection="1" pivotButton="0" quotePrefix="0" xfId="0">
      <alignment horizontal="left" vertical="center"/>
      <protection locked="0" hidden="0"/>
    </xf>
    <xf numFmtId="0" fontId="1" fillId="2" borderId="5" applyAlignment="1" applyProtection="1" pivotButton="0" quotePrefix="0" xfId="0">
      <alignment horizontal="center" wrapText="1"/>
      <protection locked="0" hidden="0"/>
    </xf>
    <xf numFmtId="0" fontId="1" fillId="2" borderId="10" applyAlignment="1" applyProtection="1" pivotButton="0" quotePrefix="0" xfId="0">
      <alignment horizontal="center" wrapText="1"/>
      <protection locked="0" hidden="0"/>
    </xf>
    <xf numFmtId="14" fontId="11" fillId="4" borderId="2" applyAlignment="1" applyProtection="1" pivotButton="0" quotePrefix="0" xfId="0">
      <alignment horizontal="center" vertical="center"/>
      <protection locked="0" hidden="0"/>
    </xf>
    <xf numFmtId="14" fontId="11" fillId="4" borderId="5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4" fontId="22" fillId="0" borderId="17" applyAlignment="1" pivotButton="0" quotePrefix="0" xfId="0">
      <alignment horizontal="center" vertical="center" wrapText="1"/>
    </xf>
    <xf numFmtId="164" fontId="16" fillId="0" borderId="17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5" borderId="46" pivotButton="0" quotePrefix="0" xfId="0"/>
    <xf numFmtId="0" fontId="0" fillId="5" borderId="43" pivotButton="0" quotePrefix="0" xfId="0"/>
    <xf numFmtId="0" fontId="0" fillId="5" borderId="42" pivotButton="0" quotePrefix="0" xfId="0"/>
    <xf numFmtId="0" fontId="2" fillId="5" borderId="44" applyAlignment="1" pivotButton="0" quotePrefix="0" xfId="0">
      <alignment horizontal="center" vertical="center"/>
    </xf>
    <xf numFmtId="0" fontId="2" fillId="5" borderId="45" applyAlignment="1" pivotButton="0" quotePrefix="0" xfId="0">
      <alignment horizontal="center" vertical="center"/>
    </xf>
    <xf numFmtId="165" fontId="17" fillId="5" borderId="47" applyAlignment="1" pivotButton="0" quotePrefix="0" xfId="0">
      <alignment horizontal="center" vertical="center" wrapText="1"/>
    </xf>
    <xf numFmtId="165" fontId="17" fillId="5" borderId="45" applyAlignment="1" pivotButton="0" quotePrefix="0" xfId="0">
      <alignment horizontal="center" vertical="center" wrapText="1"/>
    </xf>
    <xf numFmtId="166" fontId="0" fillId="0" borderId="0" applyProtection="1" pivotButton="0" quotePrefix="0" xfId="0">
      <protection locked="0" hidden="0"/>
    </xf>
    <xf numFmtId="166" fontId="0" fillId="0" borderId="0" pivotButton="0" quotePrefix="0" xfId="0"/>
    <xf numFmtId="164" fontId="23" fillId="0" borderId="31" applyAlignment="1" applyProtection="1" pivotButton="0" quotePrefix="0" xfId="0">
      <alignment horizontal="center" vertical="center" wrapText="1"/>
      <protection locked="0" hidden="0"/>
    </xf>
    <xf numFmtId="14" fontId="0" fillId="0" borderId="0" applyProtection="1" pivotButton="0" quotePrefix="0" xfId="0">
      <protection locked="0" hidden="0"/>
    </xf>
    <xf numFmtId="164" fontId="23" fillId="0" borderId="31" applyAlignment="1" applyProtection="1" pivotButton="0" quotePrefix="0" xfId="0">
      <alignment horizontal="left" vertical="center"/>
      <protection locked="0" hidden="0"/>
    </xf>
    <xf numFmtId="164" fontId="23" fillId="0" borderId="33" applyAlignment="1" applyProtection="1" pivotButton="0" quotePrefix="0" xfId="0">
      <alignment horizontal="left" vertical="center"/>
      <protection locked="0" hidden="0"/>
    </xf>
    <xf numFmtId="164" fontId="0" fillId="0" borderId="31" applyAlignment="1" applyProtection="1" pivotButton="0" quotePrefix="0" xfId="0">
      <alignment horizontal="left" vertical="top"/>
      <protection locked="0" hidden="0"/>
    </xf>
    <xf numFmtId="14" fontId="2" fillId="4" borderId="0" applyAlignment="1" pivotButton="0" quotePrefix="0" xfId="0">
      <alignment horizontal="center" vertical="center"/>
    </xf>
    <xf numFmtId="164" fontId="16" fillId="0" borderId="27" applyAlignment="1" applyProtection="1" pivotButton="0" quotePrefix="0" xfId="0">
      <alignment horizontal="center" vertical="center"/>
      <protection locked="0" hidden="0"/>
    </xf>
    <xf numFmtId="164" fontId="26" fillId="0" borderId="27" applyAlignment="1" applyProtection="1" pivotButton="0" quotePrefix="0" xfId="0">
      <alignment horizontal="left" vertical="center"/>
      <protection locked="0" hidden="0"/>
    </xf>
    <xf numFmtId="164" fontId="16" fillId="0" borderId="31" applyAlignment="1" applyProtection="1" pivotButton="0" quotePrefix="0" xfId="0">
      <alignment horizontal="center" vertical="center"/>
      <protection locked="0" hidden="0"/>
    </xf>
    <xf numFmtId="164" fontId="16" fillId="0" borderId="31" applyAlignment="1" applyProtection="1" pivotButton="0" quotePrefix="0" xfId="0">
      <alignment horizontal="left" vertical="center"/>
      <protection locked="0" hidden="0"/>
    </xf>
    <xf numFmtId="164" fontId="16" fillId="0" borderId="33" applyAlignment="1" applyProtection="1" pivotButton="0" quotePrefix="0" xfId="0">
      <alignment horizontal="left" vertical="center"/>
      <protection locked="0" hidden="0"/>
    </xf>
    <xf numFmtId="164" fontId="2" fillId="5" borderId="31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left" vertical="center"/>
      <protection locked="0" hidden="0"/>
    </xf>
    <xf numFmtId="164" fontId="16" fillId="0" borderId="22" applyAlignment="1" applyProtection="1" pivotButton="0" quotePrefix="0" xfId="0">
      <alignment horizontal="left" vertical="center"/>
      <protection locked="0" hidden="0"/>
    </xf>
    <xf numFmtId="164" fontId="13" fillId="0" borderId="25" applyAlignment="1" pivotButton="0" quotePrefix="0" xfId="0">
      <alignment horizontal="center" vertical="top"/>
    </xf>
    <xf numFmtId="164" fontId="27" fillId="0" borderId="31" applyAlignment="1" applyProtection="1" pivotButton="0" quotePrefix="0" xfId="0">
      <alignment horizontal="left" vertical="top"/>
      <protection locked="0" hidden="0"/>
    </xf>
    <xf numFmtId="164" fontId="29" fillId="5" borderId="18" applyAlignment="1" pivotButton="0" quotePrefix="0" xfId="0">
      <alignment horizontal="center" vertical="center" wrapText="1"/>
    </xf>
    <xf numFmtId="164" fontId="0" fillId="5" borderId="31" applyAlignment="1" applyProtection="1" pivotButton="0" quotePrefix="0" xfId="0">
      <alignment horizontal="center" vertical="center"/>
      <protection locked="0" hidden="0"/>
    </xf>
    <xf numFmtId="164" fontId="0" fillId="5" borderId="33" applyAlignment="1" applyProtection="1" pivotButton="0" quotePrefix="0" xfId="0">
      <alignment horizontal="center" vertical="center"/>
      <protection locked="0" hidden="0"/>
    </xf>
    <xf numFmtId="164" fontId="0" fillId="5" borderId="31" applyAlignment="1" applyProtection="1" pivotButton="0" quotePrefix="0" xfId="0">
      <alignment horizontal="left" vertical="center"/>
      <protection locked="0" hidden="0"/>
    </xf>
    <xf numFmtId="164" fontId="0" fillId="5" borderId="33" applyAlignment="1" applyProtection="1" pivotButton="0" quotePrefix="0" xfId="0">
      <alignment horizontal="left" vertical="center"/>
      <protection locked="0" hidden="0"/>
    </xf>
    <xf numFmtId="164" fontId="0" fillId="5" borderId="27" applyAlignment="1" applyProtection="1" pivotButton="0" quotePrefix="0" xfId="0">
      <alignment horizontal="left" vertical="center"/>
      <protection locked="0" hidden="0"/>
    </xf>
    <xf numFmtId="164" fontId="0" fillId="5" borderId="31" applyAlignment="1" applyProtection="1" pivotButton="0" quotePrefix="0" xfId="0">
      <alignment horizontal="left" vertical="top"/>
      <protection locked="0" hidden="0"/>
    </xf>
    <xf numFmtId="164" fontId="30" fillId="5" borderId="21" applyAlignment="1" applyProtection="1" pivotButton="0" quotePrefix="0" xfId="0">
      <alignment horizontal="center" vertical="center"/>
      <protection locked="0" hidden="0"/>
    </xf>
    <xf numFmtId="164" fontId="30" fillId="5" borderId="22" applyAlignment="1" applyProtection="1" pivotButton="0" quotePrefix="0" xfId="0">
      <alignment horizontal="center" vertical="center"/>
      <protection locked="0" hidden="0"/>
    </xf>
    <xf numFmtId="164" fontId="30" fillId="5" borderId="23" applyAlignment="1" applyProtection="1" pivotButton="0" quotePrefix="0" xfId="0">
      <alignment horizontal="center" vertical="center"/>
      <protection locked="0" hidden="0"/>
    </xf>
    <xf numFmtId="164" fontId="30" fillId="5" borderId="30" applyAlignment="1" applyProtection="1" pivotButton="0" quotePrefix="0" xfId="0">
      <alignment horizontal="center" vertical="center"/>
      <protection locked="0" hidden="0"/>
    </xf>
    <xf numFmtId="164" fontId="30" fillId="5" borderId="27" applyAlignment="1" applyProtection="1" pivotButton="0" quotePrefix="0" xfId="0">
      <alignment horizontal="center" vertical="center"/>
      <protection locked="0" hidden="0"/>
    </xf>
    <xf numFmtId="164" fontId="30" fillId="5" borderId="28" applyAlignment="1" applyProtection="1" pivotButton="0" quotePrefix="0" xfId="0">
      <alignment horizontal="center" vertical="center"/>
      <protection locked="0" hidden="0"/>
    </xf>
    <xf numFmtId="164" fontId="0" fillId="5" borderId="52" applyAlignment="1" applyProtection="1" pivotButton="0" quotePrefix="0" xfId="0">
      <alignment horizontal="center" vertical="center"/>
      <protection locked="0" hidden="0"/>
    </xf>
    <xf numFmtId="164" fontId="0" fillId="5" borderId="53" applyAlignment="1" applyProtection="1" pivotButton="0" quotePrefix="0" xfId="0">
      <alignment horizontal="center" vertical="center"/>
      <protection locked="0" hidden="0"/>
    </xf>
    <xf numFmtId="0" fontId="9" fillId="3" borderId="50" applyAlignment="1" pivotButton="0" quotePrefix="0" xfId="0">
      <alignment horizontal="center" vertical="center" wrapText="1"/>
    </xf>
    <xf numFmtId="0" fontId="31" fillId="0" borderId="57" applyAlignment="1" pivotButton="0" quotePrefix="0" xfId="0">
      <alignment horizontal="center" vertical="center" wrapText="1"/>
    </xf>
    <xf numFmtId="0" fontId="31" fillId="0" borderId="58" applyAlignment="1" pivotButton="0" quotePrefix="0" xfId="0">
      <alignment horizontal="center" vertical="center" wrapText="1"/>
    </xf>
    <xf numFmtId="0" fontId="31" fillId="0" borderId="59" applyAlignment="1" pivotButton="0" quotePrefix="0" xfId="0">
      <alignment horizontal="center" vertical="center" wrapText="1"/>
    </xf>
    <xf numFmtId="0" fontId="31" fillId="0" borderId="60" applyAlignment="1" pivotButton="0" quotePrefix="0" xfId="0">
      <alignment horizontal="center" vertical="center" wrapText="1"/>
    </xf>
    <xf numFmtId="20" fontId="32" fillId="0" borderId="59" applyAlignment="1" pivotButton="0" quotePrefix="0" xfId="0">
      <alignment horizontal="center" vertical="center" wrapText="1"/>
    </xf>
    <xf numFmtId="20" fontId="32" fillId="0" borderId="60" applyAlignment="1" pivotButton="0" quotePrefix="0" xfId="0">
      <alignment horizontal="center" vertical="center" wrapText="1"/>
    </xf>
    <xf numFmtId="20" fontId="32" fillId="0" borderId="60" applyAlignment="1" pivotButton="0" quotePrefix="0" xfId="0">
      <alignment horizontal="left" vertical="center" wrapText="1" indent="1"/>
    </xf>
    <xf numFmtId="20" fontId="31" fillId="0" borderId="59" applyAlignment="1" pivotButton="0" quotePrefix="0" xfId="0">
      <alignment horizontal="center" vertical="center" wrapText="1"/>
    </xf>
    <xf numFmtId="20" fontId="31" fillId="0" borderId="60" applyAlignment="1" pivotButton="0" quotePrefix="0" xfId="0">
      <alignment horizontal="center" vertical="center" wrapText="1"/>
    </xf>
    <xf numFmtId="20" fontId="31" fillId="0" borderId="60" applyAlignment="1" pivotButton="0" quotePrefix="0" xfId="0">
      <alignment horizontal="left" vertical="center" wrapText="1" indent="2"/>
    </xf>
    <xf numFmtId="0" fontId="33" fillId="0" borderId="59" applyAlignment="1" pivotButton="0" quotePrefix="0" xfId="0">
      <alignment horizontal="center" vertical="center" wrapText="1"/>
    </xf>
    <xf numFmtId="0" fontId="16" fillId="5" borderId="43" applyAlignment="1" pivotButton="0" quotePrefix="0" xfId="0">
      <alignment horizontal="right" vertical="top" wrapText="1"/>
    </xf>
    <xf numFmtId="0" fontId="16" fillId="0" borderId="43" applyAlignment="1" pivotButton="0" quotePrefix="0" xfId="0">
      <alignment horizontal="right" vertical="top" wrapText="1"/>
    </xf>
    <xf numFmtId="0" fontId="16" fillId="0" borderId="4" applyAlignment="1" applyProtection="1" pivotButton="0" quotePrefix="0" xfId="0">
      <alignment horizontal="left" vertical="center"/>
      <protection locked="0" hidden="0"/>
    </xf>
    <xf numFmtId="0" fontId="16" fillId="0" borderId="5" applyAlignment="1" applyProtection="1" pivotButton="0" quotePrefix="0" xfId="0">
      <alignment horizontal="left" vertical="center"/>
      <protection locked="0" hidden="0"/>
    </xf>
    <xf numFmtId="0" fontId="2" fillId="0" borderId="43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" fillId="0" borderId="44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/>
    </xf>
    <xf numFmtId="165" fontId="17" fillId="0" borderId="46" applyAlignment="1" pivotButton="0" quotePrefix="0" xfId="0">
      <alignment horizontal="center" vertical="center" wrapText="1"/>
    </xf>
    <xf numFmtId="165" fontId="17" fillId="0" borderId="42" applyAlignment="1" pivotButton="0" quotePrefix="0" xfId="0">
      <alignment horizontal="center" vertical="center" wrapText="1"/>
    </xf>
    <xf numFmtId="165" fontId="17" fillId="0" borderId="47" applyAlignment="1" pivotButton="0" quotePrefix="0" xfId="0">
      <alignment horizontal="center" vertical="center" wrapText="1"/>
    </xf>
    <xf numFmtId="165" fontId="17" fillId="0" borderId="45" applyAlignment="1" pivotButton="0" quotePrefix="0" xfId="0">
      <alignment horizontal="center" vertical="center" wrapText="1"/>
    </xf>
    <xf numFmtId="0" fontId="16" fillId="0" borderId="11" applyAlignment="1" applyProtection="1" pivotButton="0" quotePrefix="0" xfId="0">
      <alignment horizontal="left" vertical="center"/>
      <protection locked="0" hidden="0"/>
    </xf>
    <xf numFmtId="0" fontId="16" fillId="0" borderId="12" applyAlignment="1" applyProtection="1" pivotButton="0" quotePrefix="0" xfId="0">
      <alignment horizontal="left" vertical="center"/>
      <protection locked="0" hidden="0"/>
    </xf>
    <xf numFmtId="0" fontId="1" fillId="2" borderId="6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20" fillId="2" borderId="13" applyAlignment="1" applyProtection="1" pivotButton="0" quotePrefix="0" xfId="0">
      <alignment horizontal="left" vertical="center"/>
      <protection locked="0" hidden="0"/>
    </xf>
    <xf numFmtId="0" fontId="20" fillId="2" borderId="15" applyAlignment="1" applyProtection="1" pivotButton="0" quotePrefix="0" xfId="0">
      <alignment horizontal="left" vertical="center"/>
      <protection locked="0" hidden="0"/>
    </xf>
    <xf numFmtId="0" fontId="20" fillId="2" borderId="16" applyAlignment="1" applyProtection="1" pivotButton="0" quotePrefix="0" xfId="0">
      <alignment horizontal="left" vertical="center"/>
      <protection locked="0" hidden="0"/>
    </xf>
    <xf numFmtId="0" fontId="1" fillId="2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1" fillId="2" borderId="6" applyAlignment="1" pivotButton="0" quotePrefix="0" xfId="0">
      <alignment horizontal="left" vertical="center"/>
    </xf>
    <xf numFmtId="0" fontId="1" fillId="2" borderId="9" applyAlignment="1" pivotButton="0" quotePrefix="0" xfId="0">
      <alignment horizontal="left" vertical="center"/>
    </xf>
    <xf numFmtId="0" fontId="1" fillId="2" borderId="8" applyAlignment="1" pivotButton="0" quotePrefix="0" xfId="0">
      <alignment horizontal="left" vertical="center"/>
    </xf>
    <xf numFmtId="0" fontId="7" fillId="2" borderId="5" applyAlignment="1" applyProtection="1" pivotButton="0" quotePrefix="0" xfId="0">
      <alignment horizontal="left" vertical="center"/>
      <protection locked="0" hidden="0"/>
    </xf>
    <xf numFmtId="0" fontId="1" fillId="2" borderId="6" applyAlignment="1" applyProtection="1" pivotButton="0" quotePrefix="0" xfId="0">
      <alignment horizontal="left" vertical="center"/>
      <protection locked="0" hidden="0"/>
    </xf>
    <xf numFmtId="0" fontId="0" fillId="0" borderId="9" applyAlignment="1" applyProtection="1" pivotButton="0" quotePrefix="0" xfId="0">
      <alignment vertical="center"/>
      <protection locked="0" hidden="0"/>
    </xf>
    <xf numFmtId="0" fontId="0" fillId="0" borderId="7" applyAlignment="1" applyProtection="1" pivotButton="0" quotePrefix="0" xfId="0">
      <alignment vertical="center"/>
      <protection locked="0" hidden="0"/>
    </xf>
    <xf numFmtId="0" fontId="7" fillId="2" borderId="6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9" fillId="0" borderId="43" applyAlignment="1" pivotButton="0" quotePrefix="0" xfId="0">
      <alignment horizontal="center" vertical="center"/>
    </xf>
    <xf numFmtId="0" fontId="9" fillId="0" borderId="42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164" fontId="19" fillId="0" borderId="18" applyAlignment="1" pivotButton="0" quotePrefix="0" xfId="0">
      <alignment horizontal="center" vertical="center" wrapText="1"/>
    </xf>
    <xf numFmtId="164" fontId="17" fillId="0" borderId="46" applyAlignment="1" applyProtection="1" pivotButton="0" quotePrefix="0" xfId="0">
      <alignment horizontal="center" vertical="center" wrapText="1"/>
      <protection locked="0" hidden="0"/>
    </xf>
    <xf numFmtId="164" fontId="17" fillId="0" borderId="42" applyAlignment="1" applyProtection="1" pivotButton="0" quotePrefix="0" xfId="0">
      <alignment horizontal="center" vertical="center" wrapText="1"/>
      <protection locked="0" hidden="0"/>
    </xf>
    <xf numFmtId="164" fontId="17" fillId="0" borderId="47" applyAlignment="1" applyProtection="1" pivotButton="0" quotePrefix="0" xfId="0">
      <alignment horizontal="center" vertical="center" wrapText="1"/>
      <protection locked="0" hidden="0"/>
    </xf>
    <xf numFmtId="164" fontId="17" fillId="0" borderId="45" applyAlignment="1" applyProtection="1" pivotButton="0" quotePrefix="0" xfId="0">
      <alignment horizontal="center" vertical="center" wrapText="1"/>
      <protection locked="0" hidden="0"/>
    </xf>
    <xf numFmtId="0" fontId="18" fillId="0" borderId="43" applyAlignment="1" pivotButton="0" quotePrefix="0" xfId="0">
      <alignment horizontal="center" vertical="center"/>
    </xf>
    <xf numFmtId="0" fontId="18" fillId="0" borderId="42" applyAlignment="1" pivotButton="0" quotePrefix="0" xfId="0">
      <alignment horizontal="center" vertical="center"/>
    </xf>
    <xf numFmtId="0" fontId="18" fillId="0" borderId="44" applyAlignment="1" pivotButton="0" quotePrefix="0" xfId="0">
      <alignment horizontal="center" vertical="center"/>
    </xf>
    <xf numFmtId="0" fontId="18" fillId="0" borderId="45" applyAlignment="1" pivotButton="0" quotePrefix="0" xfId="0">
      <alignment horizontal="center" vertical="center"/>
    </xf>
    <xf numFmtId="164" fontId="17" fillId="0" borderId="46" applyAlignment="1" pivotButton="0" quotePrefix="0" xfId="0">
      <alignment horizontal="center" vertical="center" wrapText="1"/>
    </xf>
    <xf numFmtId="164" fontId="17" fillId="0" borderId="42" applyAlignment="1" pivotButton="0" quotePrefix="0" xfId="0">
      <alignment horizontal="center" vertical="center" wrapText="1"/>
    </xf>
    <xf numFmtId="164" fontId="17" fillId="0" borderId="47" applyAlignment="1" pivotButton="0" quotePrefix="0" xfId="0">
      <alignment horizontal="center" vertical="center" wrapText="1"/>
    </xf>
    <xf numFmtId="164" fontId="17" fillId="0" borderId="45" applyAlignment="1" pivotButton="0" quotePrefix="0" xfId="0">
      <alignment horizontal="center" vertical="center" wrapText="1"/>
    </xf>
    <xf numFmtId="0" fontId="9" fillId="0" borderId="43" applyAlignment="1" pivotButton="0" quotePrefix="0" xfId="0">
      <alignment horizontal="center" vertical="center" wrapText="1"/>
    </xf>
    <xf numFmtId="0" fontId="9" fillId="0" borderId="42" applyAlignment="1" pivotButton="0" quotePrefix="0" xfId="0">
      <alignment horizontal="center" vertical="center" wrapText="1"/>
    </xf>
    <xf numFmtId="0" fontId="9" fillId="0" borderId="44" applyAlignment="1" pivotButton="0" quotePrefix="0" xfId="0">
      <alignment horizontal="center" vertical="center" wrapText="1"/>
    </xf>
    <xf numFmtId="0" fontId="9" fillId="0" borderId="45" applyAlignment="1" pivotButton="0" quotePrefix="0" xfId="0">
      <alignment horizontal="center" vertical="center" wrapText="1"/>
    </xf>
    <xf numFmtId="164" fontId="17" fillId="0" borderId="18" applyAlignment="1" pivotButton="0" quotePrefix="0" xfId="0">
      <alignment horizontal="center" vertical="center" wrapText="1"/>
    </xf>
    <xf numFmtId="0" fontId="15" fillId="0" borderId="38" applyAlignment="1" pivotButton="0" quotePrefix="0" xfId="0">
      <alignment horizontal="center" vertical="center" wrapText="1"/>
    </xf>
    <xf numFmtId="0" fontId="15" fillId="0" borderId="39" applyAlignment="1" pivotButton="0" quotePrefix="0" xfId="0">
      <alignment horizontal="center" vertical="center" wrapText="1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0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4" fillId="4" borderId="36" applyAlignment="1" pivotButton="0" quotePrefix="0" xfId="0">
      <alignment horizontal="right" vertical="center"/>
    </xf>
    <xf numFmtId="0" fontId="4" fillId="4" borderId="37" applyAlignment="1" pivotButton="0" quotePrefix="0" xfId="0">
      <alignment horizontal="right" vertical="center"/>
    </xf>
    <xf numFmtId="0" fontId="4" fillId="4" borderId="25" applyAlignment="1" pivotButton="0" quotePrefix="0" xfId="0">
      <alignment horizontal="right" vertical="center"/>
    </xf>
    <xf numFmtId="167" fontId="12" fillId="4" borderId="5" applyAlignment="1" applyProtection="1" pivotButton="0" quotePrefix="0" xfId="0">
      <alignment horizontal="center"/>
      <protection locked="0" hidden="0"/>
    </xf>
    <xf numFmtId="167" fontId="12" fillId="4" borderId="6" applyAlignment="1" applyProtection="1" pivotButton="0" quotePrefix="0" xfId="0">
      <alignment horizontal="center"/>
      <protection locked="0" hidden="0"/>
    </xf>
    <xf numFmtId="0" fontId="2" fillId="3" borderId="17" applyAlignment="1" pivotButton="0" quotePrefix="0" xfId="0">
      <alignment horizontal="center" vertical="center"/>
    </xf>
    <xf numFmtId="0" fontId="2" fillId="3" borderId="18" applyAlignment="1" pivotButton="0" quotePrefix="0" xfId="0">
      <alignment horizontal="center" vertical="center"/>
    </xf>
    <xf numFmtId="0" fontId="9" fillId="3" borderId="17" applyAlignment="1" pivotButton="0" quotePrefix="0" xfId="0">
      <alignment horizontal="center" vertical="center"/>
    </xf>
    <xf numFmtId="167" fontId="28" fillId="4" borderId="2" applyAlignment="1" applyProtection="1" pivotButton="0" quotePrefix="0" xfId="0">
      <alignment horizontal="center"/>
      <protection locked="0" hidden="0"/>
    </xf>
    <xf numFmtId="167" fontId="28" fillId="4" borderId="20" applyAlignment="1" applyProtection="1" pivotButton="0" quotePrefix="0" xfId="0">
      <alignment horizontal="center"/>
      <protection locked="0" hidden="0"/>
    </xf>
    <xf numFmtId="0" fontId="25" fillId="4" borderId="0" applyAlignment="1" applyProtection="1" pivotButton="0" quotePrefix="0" xfId="0">
      <alignment vertical="top" wrapText="1"/>
      <protection locked="0" hidden="0"/>
    </xf>
    <xf numFmtId="0" fontId="25" fillId="4" borderId="0" applyAlignment="1" pivotButton="0" quotePrefix="0" xfId="0">
      <alignment vertical="top" wrapText="1"/>
    </xf>
    <xf numFmtId="166" fontId="24" fillId="4" borderId="36" applyAlignment="1" applyProtection="1" pivotButton="0" quotePrefix="0" xfId="0">
      <alignment horizontal="center" vertical="center" wrapText="1"/>
      <protection locked="0" hidden="0"/>
    </xf>
    <xf numFmtId="0" fontId="0" fillId="0" borderId="25" applyAlignment="1" pivotButton="0" quotePrefix="0" xfId="0">
      <alignment wrapText="1"/>
    </xf>
    <xf numFmtId="0" fontId="4" fillId="5" borderId="5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5" borderId="51" applyAlignment="1" pivotButton="0" quotePrefix="0" xfId="0">
      <alignment horizontal="center" vertical="center"/>
    </xf>
    <xf numFmtId="0" fontId="5" fillId="5" borderId="5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5" borderId="51" applyAlignment="1" pivotButton="0" quotePrefix="0" xfId="0">
      <alignment horizontal="center" vertical="center"/>
    </xf>
    <xf numFmtId="0" fontId="4" fillId="5" borderId="5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51" applyAlignment="1" pivotButton="0" quotePrefix="0" xfId="0">
      <alignment horizontal="center"/>
    </xf>
    <xf numFmtId="0" fontId="1" fillId="2" borderId="1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2" applyAlignment="1" applyProtection="1" pivotButton="0" quotePrefix="0" xfId="0">
      <alignment horizontal="left" wrapText="1"/>
      <protection locked="0" hidden="0"/>
    </xf>
    <xf numFmtId="168" fontId="6" fillId="2" borderId="2" applyAlignment="1" applyProtection="1" pivotButton="0" quotePrefix="0" xfId="0">
      <alignment horizontal="left"/>
      <protection locked="0" hidden="0"/>
    </xf>
    <xf numFmtId="168" fontId="6" fillId="2" borderId="3" applyAlignment="1" applyProtection="1" pivotButton="0" quotePrefix="0" xfId="0">
      <alignment horizontal="left"/>
      <protection locked="0" hidden="0"/>
    </xf>
    <xf numFmtId="0" fontId="1" fillId="2" borderId="48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1" fillId="2" borderId="6" applyAlignment="1" applyProtection="1" pivotButton="0" quotePrefix="0" xfId="0">
      <alignment horizontal="left" vertical="center" wrapText="1"/>
      <protection locked="0" hidden="0"/>
    </xf>
    <xf numFmtId="0" fontId="0" fillId="0" borderId="9" applyAlignment="1" applyProtection="1" pivotButton="0" quotePrefix="0" xfId="0">
      <alignment vertical="center" wrapText="1"/>
      <protection locked="0" hidden="0"/>
    </xf>
    <xf numFmtId="0" fontId="0" fillId="0" borderId="7" applyAlignment="1" applyProtection="1" pivotButton="0" quotePrefix="0" xfId="0">
      <alignment vertical="center" wrapText="1"/>
      <protection locked="0" hidden="0"/>
    </xf>
    <xf numFmtId="0" fontId="1" fillId="2" borderId="6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1" fillId="2" borderId="49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left" vertical="center" wrapText="1"/>
    </xf>
    <xf numFmtId="0" fontId="1" fillId="2" borderId="13" applyAlignment="1" applyProtection="1" pivotButton="0" quotePrefix="0" xfId="0">
      <alignment horizontal="left" vertical="center" wrapText="1"/>
      <protection locked="0" hidden="0"/>
    </xf>
    <xf numFmtId="0" fontId="0" fillId="0" borderId="15" applyAlignment="1" applyProtection="1" pivotButton="0" quotePrefix="0" xfId="0">
      <alignment horizontal="left" vertical="center" wrapText="1"/>
      <protection locked="0" hidden="0"/>
    </xf>
    <xf numFmtId="0" fontId="0" fillId="0" borderId="14" applyAlignment="1" applyProtection="1" pivotButton="0" quotePrefix="0" xfId="0">
      <alignment horizontal="left" vertical="center" wrapText="1"/>
      <protection locked="0" hidden="0"/>
    </xf>
    <xf numFmtId="0" fontId="1" fillId="2" borderId="5" applyAlignment="1" applyProtection="1" pivotButton="0" quotePrefix="0" xfId="0">
      <alignment horizontal="left" vertical="center"/>
      <protection locked="0" hidden="0"/>
    </xf>
    <xf numFmtId="0" fontId="4" fillId="5" borderId="47" applyAlignment="1" pivotButton="0" quotePrefix="0" xfId="0">
      <alignment horizontal="center"/>
    </xf>
    <xf numFmtId="0" fontId="4" fillId="5" borderId="44" applyAlignment="1" pivotButton="0" quotePrefix="0" xfId="0">
      <alignment horizontal="center"/>
    </xf>
    <xf numFmtId="0" fontId="4" fillId="5" borderId="45" applyAlignment="1" pivotButton="0" quotePrefix="0" xfId="0">
      <alignment horizontal="center"/>
    </xf>
    <xf numFmtId="0" fontId="1" fillId="2" borderId="38" applyAlignment="1" pivotButton="0" quotePrefix="0" xfId="0">
      <alignment horizontal="left"/>
    </xf>
    <xf numFmtId="0" fontId="1" fillId="2" borderId="40" applyAlignment="1" pivotButton="0" quotePrefix="0" xfId="0">
      <alignment horizontal="left"/>
    </xf>
    <xf numFmtId="0" fontId="1" fillId="2" borderId="20" applyAlignment="1" applyProtection="1" pivotButton="0" quotePrefix="0" xfId="0">
      <alignment horizontal="left" wrapText="1"/>
      <protection locked="0" hidden="0"/>
    </xf>
    <xf numFmtId="0" fontId="1" fillId="2" borderId="39" applyAlignment="1" applyProtection="1" pivotButton="0" quotePrefix="0" xfId="0">
      <alignment horizontal="left" wrapText="1"/>
      <protection locked="0" hidden="0"/>
    </xf>
    <xf numFmtId="0" fontId="1" fillId="2" borderId="40" applyAlignment="1" applyProtection="1" pivotButton="0" quotePrefix="0" xfId="0">
      <alignment horizontal="left" wrapText="1"/>
      <protection locked="0" hidden="0"/>
    </xf>
    <xf numFmtId="168" fontId="6" fillId="2" borderId="20" applyAlignment="1" applyProtection="1" pivotButton="0" quotePrefix="0" xfId="0">
      <alignment horizontal="left"/>
      <protection locked="0" hidden="0"/>
    </xf>
    <xf numFmtId="168" fontId="6" fillId="2" borderId="39" applyAlignment="1" applyProtection="1" pivotButton="0" quotePrefix="0" xfId="0">
      <alignment horizontal="left"/>
      <protection locked="0" hidden="0"/>
    </xf>
    <xf numFmtId="168" fontId="6" fillId="2" borderId="54" applyAlignment="1" applyProtection="1" pivotButton="0" quotePrefix="0" xfId="0">
      <alignment horizontal="left"/>
      <protection locked="0" hidden="0"/>
    </xf>
    <xf numFmtId="0" fontId="1" fillId="2" borderId="7" applyAlignment="1" pivotButton="0" quotePrefix="0" xfId="0">
      <alignment vertical="center" wrapText="1"/>
    </xf>
    <xf numFmtId="0" fontId="1" fillId="2" borderId="9" applyAlignment="1" applyProtection="1" pivotButton="0" quotePrefix="0" xfId="0">
      <alignment horizontal="left" vertical="center" wrapText="1"/>
      <protection locked="0" hidden="0"/>
    </xf>
    <xf numFmtId="0" fontId="1" fillId="2" borderId="7" applyAlignment="1" applyProtection="1" pivotButton="0" quotePrefix="0" xfId="0">
      <alignment horizontal="left" vertical="center" wrapText="1"/>
      <protection locked="0" hidden="0"/>
    </xf>
    <xf numFmtId="0" fontId="7" fillId="2" borderId="6" applyAlignment="1" applyProtection="1" pivotButton="0" quotePrefix="0" xfId="0">
      <alignment horizontal="left" vertical="center"/>
      <protection locked="0" hidden="0"/>
    </xf>
    <xf numFmtId="0" fontId="7" fillId="2" borderId="9" applyAlignment="1" applyProtection="1" pivotButton="0" quotePrefix="0" xfId="0">
      <alignment horizontal="left" vertical="center"/>
      <protection locked="0" hidden="0"/>
    </xf>
    <xf numFmtId="0" fontId="7" fillId="2" borderId="7" applyAlignment="1" applyProtection="1" pivotButton="0" quotePrefix="0" xfId="0">
      <alignment horizontal="left" vertical="center"/>
      <protection locked="0" hidden="0"/>
    </xf>
    <xf numFmtId="0" fontId="1" fillId="2" borderId="7" applyAlignment="1" pivotButton="0" quotePrefix="0" xfId="0">
      <alignment horizontal="left" vertical="center" wrapText="1"/>
    </xf>
    <xf numFmtId="0" fontId="1" fillId="2" borderId="9" applyAlignment="1" applyProtection="1" pivotButton="0" quotePrefix="0" xfId="0">
      <alignment horizontal="left" vertical="center"/>
      <protection locked="0" hidden="0"/>
    </xf>
    <xf numFmtId="0" fontId="1" fillId="2" borderId="7" applyAlignment="1" applyProtection="1" pivotButton="0" quotePrefix="0" xfId="0">
      <alignment horizontal="left" vertical="center"/>
      <protection locked="0" hidden="0"/>
    </xf>
    <xf numFmtId="0" fontId="7" fillId="2" borderId="7" applyAlignment="1" pivotButton="0" quotePrefix="0" xfId="0">
      <alignment horizontal="center" vertical="center"/>
    </xf>
    <xf numFmtId="0" fontId="1" fillId="2" borderId="14" applyAlignment="1" pivotButton="0" quotePrefix="0" xfId="0">
      <alignment horizontal="left" vertical="center" wrapText="1"/>
    </xf>
    <xf numFmtId="0" fontId="1" fillId="2" borderId="15" applyAlignment="1" applyProtection="1" pivotButton="0" quotePrefix="0" xfId="0">
      <alignment horizontal="left" vertical="center" wrapText="1"/>
      <protection locked="0" hidden="0"/>
    </xf>
    <xf numFmtId="0" fontId="1" fillId="2" borderId="14" applyAlignment="1" applyProtection="1" pivotButton="0" quotePrefix="0" xfId="0">
      <alignment horizontal="left" vertical="center" wrapText="1"/>
      <protection locked="0" hidden="0"/>
    </xf>
    <xf numFmtId="0" fontId="1" fillId="2" borderId="15" applyAlignment="1" pivotButton="0" quotePrefix="0" xfId="0">
      <alignment horizontal="center" vertical="center" wrapText="1"/>
    </xf>
    <xf numFmtId="0" fontId="1" fillId="2" borderId="14" applyAlignment="1" pivotButton="0" quotePrefix="0" xfId="0">
      <alignment horizontal="center" vertical="center" wrapText="1"/>
    </xf>
    <xf numFmtId="167" fontId="12" fillId="4" borderId="6" applyAlignment="1" pivotButton="0" quotePrefix="0" xfId="0">
      <alignment horizontal="center"/>
    </xf>
    <xf numFmtId="167" fontId="12" fillId="4" borderId="9" applyAlignment="1" pivotButton="0" quotePrefix="0" xfId="0">
      <alignment horizontal="center"/>
    </xf>
    <xf numFmtId="167" fontId="12" fillId="4" borderId="8" applyAlignment="1" pivotButton="0" quotePrefix="0" xfId="0">
      <alignment horizontal="center"/>
    </xf>
    <xf numFmtId="0" fontId="2" fillId="3" borderId="46" applyAlignment="1" pivotButton="0" quotePrefix="0" xfId="0">
      <alignment horizontal="center" vertical="center"/>
    </xf>
    <xf numFmtId="0" fontId="2" fillId="3" borderId="43" applyAlignment="1" pivotButton="0" quotePrefix="0" xfId="0">
      <alignment horizontal="center" vertical="center"/>
    </xf>
    <xf numFmtId="0" fontId="2" fillId="3" borderId="42" applyAlignment="1" pivotButton="0" quotePrefix="0" xfId="0">
      <alignment horizontal="center" vertical="center"/>
    </xf>
    <xf numFmtId="0" fontId="2" fillId="3" borderId="47" applyAlignment="1" pivotButton="0" quotePrefix="0" xfId="0">
      <alignment horizontal="center" vertical="center"/>
    </xf>
    <xf numFmtId="0" fontId="2" fillId="3" borderId="44" applyAlignment="1" pivotButton="0" quotePrefix="0" xfId="0">
      <alignment horizontal="center" vertical="center"/>
    </xf>
    <xf numFmtId="0" fontId="2" fillId="3" borderId="45" applyAlignment="1" pivotButton="0" quotePrefix="0" xfId="0">
      <alignment horizontal="center" vertical="center"/>
    </xf>
    <xf numFmtId="0" fontId="9" fillId="3" borderId="36" applyAlignment="1" pivotButton="0" quotePrefix="0" xfId="0">
      <alignment horizontal="center" vertical="center"/>
    </xf>
    <xf numFmtId="0" fontId="9" fillId="3" borderId="25" applyAlignment="1" pivotButton="0" quotePrefix="0" xfId="0">
      <alignment horizontal="center" vertical="center"/>
    </xf>
    <xf numFmtId="167" fontId="12" fillId="4" borderId="20" applyAlignment="1" pivotButton="0" quotePrefix="0" xfId="0">
      <alignment horizontal="center"/>
    </xf>
    <xf numFmtId="167" fontId="12" fillId="4" borderId="39" applyAlignment="1" pivotButton="0" quotePrefix="0" xfId="0">
      <alignment horizontal="center"/>
    </xf>
    <xf numFmtId="167" fontId="12" fillId="4" borderId="54" applyAlignment="1" pivotButton="0" quotePrefix="0" xfId="0">
      <alignment horizontal="center"/>
    </xf>
    <xf numFmtId="167" fontId="12" fillId="4" borderId="13" applyAlignment="1" pivotButton="0" quotePrefix="0" xfId="0">
      <alignment horizontal="center"/>
    </xf>
    <xf numFmtId="167" fontId="12" fillId="4" borderId="15" applyAlignment="1" pivotButton="0" quotePrefix="0" xfId="0">
      <alignment horizontal="center"/>
    </xf>
    <xf numFmtId="167" fontId="12" fillId="4" borderId="16" applyAlignment="1" pivotButton="0" quotePrefix="0" xfId="0">
      <alignment horizontal="center"/>
    </xf>
    <xf numFmtId="0" fontId="15" fillId="0" borderId="38" applyAlignment="1" applyProtection="1" pivotButton="0" quotePrefix="0" xfId="0">
      <alignment horizontal="center" vertical="center" wrapText="1"/>
      <protection locked="0" hidden="0"/>
    </xf>
    <xf numFmtId="0" fontId="15" fillId="0" borderId="39" applyAlignment="1" applyProtection="1" pivotButton="0" quotePrefix="0" xfId="0">
      <alignment horizontal="center" vertical="center" wrapText="1"/>
      <protection locked="0" hidden="0"/>
    </xf>
    <xf numFmtId="0" fontId="16" fillId="0" borderId="48" applyAlignment="1" applyProtection="1" pivotButton="0" quotePrefix="0" xfId="0">
      <alignment horizontal="left" vertical="center"/>
      <protection locked="0" hidden="0"/>
    </xf>
    <xf numFmtId="0" fontId="16" fillId="0" borderId="9" applyAlignment="1" applyProtection="1" pivotButton="0" quotePrefix="0" xfId="0">
      <alignment horizontal="left" vertical="center"/>
      <protection locked="0" hidden="0"/>
    </xf>
    <xf numFmtId="0" fontId="16" fillId="0" borderId="7" applyAlignment="1" applyProtection="1" pivotButton="0" quotePrefix="0" xfId="0">
      <alignment horizontal="left" vertical="center"/>
      <protection locked="0" hidden="0"/>
    </xf>
    <xf numFmtId="0" fontId="9" fillId="0" borderId="55" applyAlignment="1" pivotButton="0" quotePrefix="0" xfId="0">
      <alignment horizontal="center" vertical="center" wrapText="1"/>
    </xf>
    <xf numFmtId="0" fontId="9" fillId="0" borderId="56" applyAlignment="1" pivotButton="0" quotePrefix="0" xfId="0">
      <alignment horizontal="center" vertical="center" wrapText="1"/>
    </xf>
    <xf numFmtId="0" fontId="18" fillId="0" borderId="55" applyAlignment="1" pivotButton="0" quotePrefix="0" xfId="0">
      <alignment horizontal="center" vertical="center"/>
    </xf>
    <xf numFmtId="0" fontId="18" fillId="0" borderId="56" applyAlignment="1" pivotButton="0" quotePrefix="0" xfId="0">
      <alignment horizontal="center" vertical="center"/>
    </xf>
    <xf numFmtId="0" fontId="9" fillId="0" borderId="55" applyAlignment="1" pivotButton="0" quotePrefix="0" xfId="0">
      <alignment horizontal="center" vertical="center"/>
    </xf>
    <xf numFmtId="0" fontId="9" fillId="0" borderId="56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0" borderId="37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165" fontId="17" fillId="0" borderId="36" applyAlignment="1" pivotButton="0" quotePrefix="0" xfId="0">
      <alignment horizontal="center" vertical="center" wrapText="1"/>
    </xf>
    <xf numFmtId="165" fontId="17" fillId="0" borderId="25" applyAlignment="1" pivotButton="0" quotePrefix="0" xfId="0">
      <alignment horizontal="center" vertical="center" wrapText="1"/>
    </xf>
    <xf numFmtId="0" fontId="16" fillId="0" borderId="49" applyAlignment="1" applyProtection="1" pivotButton="0" quotePrefix="0" xfId="0">
      <alignment horizontal="left" vertical="center"/>
      <protection locked="0" hidden="0"/>
    </xf>
    <xf numFmtId="0" fontId="16" fillId="0" borderId="15" applyAlignment="1" applyProtection="1" pivotButton="0" quotePrefix="0" xfId="0">
      <alignment horizontal="left" vertical="center"/>
      <protection locked="0" hidden="0"/>
    </xf>
    <xf numFmtId="0" fontId="16" fillId="0" borderId="14" applyAlignment="1" applyProtection="1" pivotButton="0" quotePrefix="0" xfId="0">
      <alignment horizontal="left" vertical="center"/>
      <protection locked="0" hidden="0"/>
    </xf>
    <xf numFmtId="164" fontId="19" fillId="0" borderId="46" applyAlignment="1" pivotButton="0" quotePrefix="0" xfId="0">
      <alignment horizontal="center" vertical="center" wrapText="1"/>
    </xf>
    <xf numFmtId="164" fontId="19" fillId="0" borderId="42" applyAlignment="1" pivotButton="0" quotePrefix="0" xfId="0">
      <alignment horizontal="center" vertical="center" wrapText="1"/>
    </xf>
    <xf numFmtId="164" fontId="19" fillId="0" borderId="47" applyAlignment="1" pivotButton="0" quotePrefix="0" xfId="0">
      <alignment horizontal="center" vertical="center" wrapText="1"/>
    </xf>
    <xf numFmtId="164" fontId="19" fillId="0" borderId="45" applyAlignment="1" pivotButton="0" quotePrefix="0" xfId="0">
      <alignment horizontal="center" vertical="center" wrapText="1"/>
    </xf>
    <xf numFmtId="0" fontId="2" fillId="0" borderId="55" applyAlignment="1" pivotButton="0" quotePrefix="0" xfId="0">
      <alignment horizontal="center" vertical="center"/>
    </xf>
    <xf numFmtId="0" fontId="2" fillId="0" borderId="56" applyAlignment="1" pivotButton="0" quotePrefix="0" xfId="0">
      <alignment horizontal="center" vertical="center"/>
    </xf>
    <xf numFmtId="167" fontId="12" fillId="4" borderId="5" applyAlignment="1" pivotButton="0" quotePrefix="0" xfId="0">
      <alignment horizontal="center"/>
    </xf>
    <xf numFmtId="167" fontId="12" fillId="4" borderId="2" applyAlignment="1" pivotButton="0" quotePrefix="0" xfId="0">
      <alignment horizontal="center"/>
    </xf>
    <xf numFmtId="0" fontId="7" fillId="2" borderId="6" applyAlignment="1" pivotButton="0" quotePrefix="0" xfId="0">
      <alignment horizontal="left"/>
    </xf>
    <xf numFmtId="0" fontId="13" fillId="0" borderId="7" applyAlignment="1" pivotButton="0" quotePrefix="0" xfId="0">
      <alignment horizontal="left"/>
    </xf>
    <xf numFmtId="167" fontId="28" fillId="4" borderId="5" applyAlignment="1" pivotButton="0" quotePrefix="0" xfId="0">
      <alignment horizontal="center"/>
    </xf>
    <xf numFmtId="167" fontId="28" fillId="4" borderId="6" applyAlignment="1" pivotButton="0" quotePrefix="0" xfId="0">
      <alignment horizontal="center"/>
    </xf>
    <xf numFmtId="0" fontId="4" fillId="4" borderId="44" applyAlignment="1" pivotButton="0" quotePrefix="0" xfId="0">
      <alignment horizontal="right" vertical="center"/>
    </xf>
    <xf numFmtId="0" fontId="2" fillId="3" borderId="19" applyAlignment="1" pivotButton="0" quotePrefix="0" xfId="0">
      <alignment horizontal="center" vertical="center"/>
    </xf>
    <xf numFmtId="0" fontId="2" fillId="5" borderId="44" applyAlignment="1" pivotButton="0" quotePrefix="0" xfId="0">
      <alignment horizontal="center" vertical="center"/>
    </xf>
    <xf numFmtId="0" fontId="2" fillId="5" borderId="45" applyAlignment="1" pivotButton="0" quotePrefix="0" xfId="0">
      <alignment horizontal="center" vertical="center"/>
    </xf>
    <xf numFmtId="165" fontId="17" fillId="5" borderId="47" applyAlignment="1" pivotButton="0" quotePrefix="0" xfId="0">
      <alignment horizontal="center" vertical="center" wrapText="1"/>
    </xf>
    <xf numFmtId="165" fontId="17" fillId="5" borderId="4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4" fillId="5" borderId="61" applyAlignment="1" pivotButton="0" quotePrefix="0" xfId="0">
      <alignment horizontal="center" vertical="center"/>
    </xf>
    <xf numFmtId="0" fontId="0" fillId="0" borderId="51" pivotButton="0" quotePrefix="0" xfId="0"/>
    <xf numFmtId="0" fontId="5" fillId="5" borderId="61" applyAlignment="1" pivotButton="0" quotePrefix="0" xfId="0">
      <alignment horizontal="center" vertical="center"/>
    </xf>
    <xf numFmtId="166" fontId="0" fillId="0" borderId="0" pivotButton="0" quotePrefix="0" xfId="0"/>
    <xf numFmtId="0" fontId="4" fillId="5" borderId="61" applyAlignment="1" pivotButton="0" quotePrefix="0" xfId="0">
      <alignment horizontal="center"/>
    </xf>
    <xf numFmtId="0" fontId="0" fillId="0" borderId="40" pivotButton="0" quotePrefix="0" xfId="0"/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168" fontId="6" fillId="2" borderId="2" applyAlignment="1" applyProtection="1" pivotButton="0" quotePrefix="0" xfId="0">
      <alignment horizontal="left"/>
      <protection locked="0" hidden="0"/>
    </xf>
    <xf numFmtId="0" fontId="1" fillId="2" borderId="4" applyAlignment="1" pivotButton="0" quotePrefix="0" xfId="0">
      <alignment vertical="center" wrapText="1"/>
    </xf>
    <xf numFmtId="0" fontId="0" fillId="0" borderId="7" pivotButton="0" quotePrefix="0" xfId="0"/>
    <xf numFmtId="0" fontId="0" fillId="0" borderId="9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1" fillId="2" borderId="5" applyAlignment="1" pivotButton="0" quotePrefix="0" xfId="0">
      <alignment horizontal="left"/>
    </xf>
    <xf numFmtId="164" fontId="6" fillId="2" borderId="6" applyAlignment="1" applyProtection="1" pivotButton="0" quotePrefix="0" xfId="0">
      <alignment horizontal="left" vertical="center"/>
      <protection locked="0" hidden="0"/>
    </xf>
    <xf numFmtId="164" fontId="21" fillId="2" borderId="6" applyAlignment="1" applyProtection="1" pivotButton="0" quotePrefix="0" xfId="0">
      <alignment horizontal="left" vertical="center"/>
      <protection locked="0" hidden="0"/>
    </xf>
    <xf numFmtId="164" fontId="7" fillId="2" borderId="8" applyAlignment="1" applyProtection="1" pivotButton="0" quotePrefix="0" xfId="0">
      <alignment horizontal="center" vertical="center"/>
      <protection locked="0" hidden="0"/>
    </xf>
    <xf numFmtId="0" fontId="1" fillId="2" borderId="5" applyAlignment="1" applyProtection="1" pivotButton="0" quotePrefix="0" xfId="0">
      <alignment horizontal="left" vertical="center" wrapText="1"/>
      <protection locked="0" hidden="0"/>
    </xf>
    <xf numFmtId="0" fontId="1" fillId="2" borderId="10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8" pivotButton="0" quotePrefix="0" xfId="0"/>
    <xf numFmtId="0" fontId="1" fillId="2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center" vertical="center"/>
    </xf>
    <xf numFmtId="0" fontId="1" fillId="2" borderId="11" applyAlignment="1" pivotButton="0" quotePrefix="0" xfId="0">
      <alignment horizontal="left" vertical="center" wrapText="1"/>
    </xf>
    <xf numFmtId="0" fontId="0" fillId="0" borderId="14" pivotButton="0" quotePrefix="0" xfId="0"/>
    <xf numFmtId="0" fontId="1" fillId="2" borderId="12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" fillId="2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20" fillId="2" borderId="65" applyAlignment="1" applyProtection="1" pivotButton="0" quotePrefix="0" xfId="0">
      <alignment horizontal="lef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45" pivotButton="0" quotePrefix="0" xfId="0"/>
    <xf numFmtId="166" fontId="24" fillId="4" borderId="18" applyAlignment="1" applyProtection="1" pivotButton="0" quotePrefix="0" xfId="0">
      <alignment horizontal="center" vertical="center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47" pivotButton="0" quotePrefix="0" xfId="0"/>
    <xf numFmtId="0" fontId="0" fillId="0" borderId="44" pivotButton="0" quotePrefix="0" xfId="0"/>
    <xf numFmtId="167" fontId="28" fillId="4" borderId="2" applyAlignment="1" applyProtection="1" pivotButton="0" quotePrefix="0" xfId="0">
      <alignment horizontal="center"/>
      <protection locked="0" hidden="0"/>
    </xf>
    <xf numFmtId="164" fontId="30" fillId="5" borderId="21" applyAlignment="1" applyProtection="1" pivotButton="0" quotePrefix="0" xfId="0">
      <alignment horizontal="center" vertical="center"/>
      <protection locked="0" hidden="0"/>
    </xf>
    <xf numFmtId="164" fontId="30" fillId="5" borderId="22" applyAlignment="1" applyProtection="1" pivotButton="0" quotePrefix="0" xfId="0">
      <alignment horizontal="center" vertical="center"/>
      <protection locked="0" hidden="0"/>
    </xf>
    <xf numFmtId="164" fontId="30" fillId="5" borderId="23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left" vertical="center"/>
      <protection locked="0" hidden="0"/>
    </xf>
    <xf numFmtId="164" fontId="0" fillId="0" borderId="24" applyAlignment="1" applyProtection="1" pivotButton="0" quotePrefix="0" xfId="0">
      <alignment horizontal="center" vertical="center"/>
      <protection locked="0" hidden="0"/>
    </xf>
    <xf numFmtId="164" fontId="13" fillId="0" borderId="25" applyAlignment="1" pivotButton="0" quotePrefix="0" xfId="0">
      <alignment horizontal="center" vertical="center"/>
    </xf>
    <xf numFmtId="164" fontId="13" fillId="5" borderId="18" applyAlignment="1" pivotButton="0" quotePrefix="0" xfId="0">
      <alignment horizontal="center" vertical="center" wrapText="1"/>
    </xf>
    <xf numFmtId="164" fontId="9" fillId="0" borderId="18" applyAlignment="1" pivotButton="0" quotePrefix="0" xfId="0">
      <alignment horizontal="center" vertical="center" wrapText="1"/>
    </xf>
    <xf numFmtId="166" fontId="0" fillId="0" borderId="0" applyProtection="1" pivotButton="0" quotePrefix="0" xfId="0">
      <protection locked="0" hidden="0"/>
    </xf>
    <xf numFmtId="167" fontId="12" fillId="4" borderId="5" applyAlignment="1" applyProtection="1" pivotButton="0" quotePrefix="0" xfId="0">
      <alignment horizontal="center"/>
      <protection locked="0" hidden="0"/>
    </xf>
    <xf numFmtId="164" fontId="0" fillId="0" borderId="27" applyAlignment="1" applyProtection="1" pivotButton="0" quotePrefix="0" xfId="0">
      <alignment horizontal="left" vertical="center"/>
      <protection locked="0" hidden="0"/>
    </xf>
    <xf numFmtId="164" fontId="0" fillId="0" borderId="29" applyAlignment="1" applyProtection="1" pivotButton="0" quotePrefix="0" xfId="0">
      <alignment horizontal="center" vertical="center"/>
      <protection locked="0" hidden="0"/>
    </xf>
    <xf numFmtId="164" fontId="0" fillId="0" borderId="0" applyProtection="1" pivotButton="0" quotePrefix="0" xfId="0">
      <protection locked="0" hidden="0"/>
    </xf>
    <xf numFmtId="164" fontId="0" fillId="0" borderId="31" applyAlignment="1" applyProtection="1" pivotButton="0" quotePrefix="0" xfId="0">
      <alignment horizontal="left" vertical="center"/>
      <protection locked="0" hidden="0"/>
    </xf>
    <xf numFmtId="164" fontId="0" fillId="0" borderId="32" applyAlignment="1" applyProtection="1" pivotButton="0" quotePrefix="0" xfId="0">
      <alignment horizontal="center" vertical="center"/>
      <protection locked="0" hidden="0"/>
    </xf>
    <xf numFmtId="164" fontId="0" fillId="0" borderId="33" applyAlignment="1" applyProtection="1" pivotButton="0" quotePrefix="0" xfId="0">
      <alignment horizontal="left" vertical="center"/>
      <protection locked="0" hidden="0"/>
    </xf>
    <xf numFmtId="164" fontId="0" fillId="0" borderId="34" applyAlignment="1" applyProtection="1" pivotButton="0" quotePrefix="0" xfId="0">
      <alignment horizontal="center" vertical="center"/>
      <protection locked="0" hidden="0"/>
    </xf>
    <xf numFmtId="164" fontId="30" fillId="5" borderId="30" applyAlignment="1" applyProtection="1" pivotButton="0" quotePrefix="0" xfId="0">
      <alignment horizontal="center" vertical="center"/>
      <protection locked="0" hidden="0"/>
    </xf>
    <xf numFmtId="164" fontId="30" fillId="5" borderId="27" applyAlignment="1" applyProtection="1" pivotButton="0" quotePrefix="0" xfId="0">
      <alignment horizontal="center" vertical="center"/>
      <protection locked="0" hidden="0"/>
    </xf>
    <xf numFmtId="164" fontId="30" fillId="5" borderId="28" applyAlignment="1" applyProtection="1" pivotButton="0" quotePrefix="0" xfId="0">
      <alignment horizontal="center" vertical="center"/>
      <protection locked="0" hidden="0"/>
    </xf>
    <xf numFmtId="164" fontId="0" fillId="0" borderId="35" applyAlignment="1" applyProtection="1" pivotButton="0" quotePrefix="0" xfId="0">
      <alignment horizontal="center" vertical="center"/>
      <protection locked="0" hidden="0"/>
    </xf>
    <xf numFmtId="0" fontId="4" fillId="4" borderId="18" applyAlignment="1" pivotButton="0" quotePrefix="0" xfId="0">
      <alignment horizontal="right" vertical="center"/>
    </xf>
    <xf numFmtId="0" fontId="0" fillId="0" borderId="37" pivotButton="0" quotePrefix="0" xfId="0"/>
    <xf numFmtId="0" fontId="0" fillId="0" borderId="25" pivotButton="0" quotePrefix="0" xfId="0"/>
    <xf numFmtId="164" fontId="16" fillId="0" borderId="17" applyAlignment="1" pivotButton="0" quotePrefix="0" xfId="0">
      <alignment horizontal="center" vertical="center" wrapText="1"/>
    </xf>
    <xf numFmtId="164" fontId="22" fillId="0" borderId="17" applyAlignment="1" pivotButton="0" quotePrefix="0" xfId="0">
      <alignment horizontal="center" vertical="center" wrapText="1"/>
    </xf>
    <xf numFmtId="0" fontId="0" fillId="0" borderId="39" pivotButton="0" quotePrefix="0" xfId="0"/>
    <xf numFmtId="164" fontId="2" fillId="0" borderId="42" applyAlignment="1" pivotButton="0" quotePrefix="0" xfId="0">
      <alignment horizontal="center" vertical="center"/>
    </xf>
    <xf numFmtId="0" fontId="9" fillId="0" borderId="25" applyAlignment="1" pivotButton="0" quotePrefix="0" xfId="0">
      <alignment horizontal="center" vertical="center" wrapText="1"/>
    </xf>
    <xf numFmtId="0" fontId="0" fillId="0" borderId="43" pivotButton="0" quotePrefix="0" xfId="0"/>
    <xf numFmtId="0" fontId="0" fillId="0" borderId="42" pivotButton="0" quotePrefix="0" xfId="0"/>
    <xf numFmtId="164" fontId="17" fillId="0" borderId="18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/>
    </xf>
    <xf numFmtId="164" fontId="17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42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18" fillId="0" borderId="25" applyAlignment="1" pivotButton="0" quotePrefix="0" xfId="0">
      <alignment horizontal="center" vertical="center"/>
    </xf>
    <xf numFmtId="164" fontId="19" fillId="0" borderId="18" applyAlignment="1" pivotButton="0" quotePrefix="0" xfId="0">
      <alignment horizontal="center" vertical="center" wrapText="1"/>
    </xf>
    <xf numFmtId="165" fontId="17" fillId="0" borderId="18" applyAlignment="1" pivotButton="0" quotePrefix="0" xfId="0">
      <alignment horizontal="center" vertical="center" wrapText="1"/>
    </xf>
    <xf numFmtId="0" fontId="4" fillId="5" borderId="17" applyAlignment="1" pivotButton="0" quotePrefix="0" xfId="0">
      <alignment horizontal="center"/>
    </xf>
    <xf numFmtId="168" fontId="6" fillId="2" borderId="3" applyAlignment="1" applyProtection="1" pivotButton="0" quotePrefix="0" xfId="0">
      <alignment horizontal="left"/>
      <protection locked="0" hidden="0"/>
    </xf>
    <xf numFmtId="0" fontId="0" fillId="0" borderId="54" applyProtection="1" pivotButton="0" quotePrefix="0" xfId="0">
      <protection locked="0" hidden="0"/>
    </xf>
    <xf numFmtId="0" fontId="9" fillId="3" borderId="18" applyAlignment="1" pivotButton="0" quotePrefix="0" xfId="0">
      <alignment horizontal="center" vertical="center"/>
    </xf>
    <xf numFmtId="167" fontId="12" fillId="4" borderId="3" applyAlignment="1" pivotButton="0" quotePrefix="0" xfId="0">
      <alignment horizontal="center"/>
    </xf>
    <xf numFmtId="0" fontId="0" fillId="0" borderId="54" pivotButton="0" quotePrefix="0" xfId="0"/>
    <xf numFmtId="164" fontId="0" fillId="5" borderId="30" applyAlignment="1" applyProtection="1" pivotButton="0" quotePrefix="0" xfId="0">
      <alignment horizontal="center" vertical="center"/>
      <protection locked="0" hidden="0"/>
    </xf>
    <xf numFmtId="164" fontId="0" fillId="5" borderId="27" applyAlignment="1" applyProtection="1" pivotButton="0" quotePrefix="0" xfId="0">
      <alignment horizontal="center" vertical="center"/>
      <protection locked="0" hidden="0"/>
    </xf>
    <xf numFmtId="164" fontId="0" fillId="5" borderId="28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center" vertical="center"/>
      <protection locked="0" hidden="0"/>
    </xf>
    <xf numFmtId="167" fontId="12" fillId="4" borderId="10" applyAlignment="1" pivotButton="0" quotePrefix="0" xfId="0">
      <alignment horizontal="center"/>
    </xf>
    <xf numFmtId="164" fontId="0" fillId="0" borderId="27" applyAlignment="1" applyProtection="1" pivotButton="0" quotePrefix="0" xfId="0">
      <alignment horizontal="center" vertical="center"/>
      <protection locked="0" hidden="0"/>
    </xf>
    <xf numFmtId="164" fontId="0" fillId="0" borderId="31" applyAlignment="1" applyProtection="1" pivotButton="0" quotePrefix="0" xfId="0">
      <alignment horizontal="center" vertical="center"/>
      <protection locked="0" hidden="0"/>
    </xf>
    <xf numFmtId="164" fontId="0" fillId="0" borderId="33" applyAlignment="1" applyProtection="1" pivotButton="0" quotePrefix="0" xfId="0">
      <alignment horizontal="center" vertical="center"/>
      <protection locked="0" hidden="0"/>
    </xf>
    <xf numFmtId="164" fontId="14" fillId="5" borderId="27" applyAlignment="1" applyProtection="1" pivotButton="0" quotePrefix="0" xfId="0">
      <alignment horizontal="center" vertical="center"/>
      <protection locked="0" hidden="0"/>
    </xf>
    <xf numFmtId="164" fontId="14" fillId="5" borderId="28" applyAlignment="1" applyProtection="1" pivotButton="0" quotePrefix="0" xfId="0">
      <alignment horizontal="center" vertical="center"/>
      <protection locked="0" hidden="0"/>
    </xf>
    <xf numFmtId="167" fontId="12" fillId="4" borderId="65" applyAlignment="1" pivotButton="0" quotePrefix="0" xfId="0">
      <alignment horizontal="center"/>
    </xf>
    <xf numFmtId="0" fontId="0" fillId="0" borderId="16" pivotButton="0" quotePrefix="0" xfId="0"/>
    <xf numFmtId="164" fontId="0" fillId="0" borderId="17" applyAlignment="1" pivotButton="0" quotePrefix="0" xfId="0">
      <alignment horizontal="center" vertical="center" wrapText="1"/>
    </xf>
    <xf numFmtId="164" fontId="2" fillId="0" borderId="17" applyAlignment="1" pivotButton="0" quotePrefix="0" xfId="0">
      <alignment horizontal="center" vertical="center" wrapText="1"/>
    </xf>
    <xf numFmtId="0" fontId="9" fillId="0" borderId="67" applyAlignment="1" pivotButton="0" quotePrefix="0" xfId="0">
      <alignment horizontal="center" vertical="center" wrapText="1"/>
    </xf>
    <xf numFmtId="0" fontId="0" fillId="0" borderId="56" pivotButton="0" quotePrefix="0" xfId="0"/>
    <xf numFmtId="0" fontId="9" fillId="0" borderId="67" applyAlignment="1" pivotButton="0" quotePrefix="0" xfId="0">
      <alignment horizontal="center" vertical="center"/>
    </xf>
    <xf numFmtId="0" fontId="18" fillId="0" borderId="67" applyAlignment="1" pivotButton="0" quotePrefix="0" xfId="0">
      <alignment horizontal="center" vertical="center"/>
    </xf>
    <xf numFmtId="0" fontId="2" fillId="0" borderId="67" applyAlignment="1" pivotButton="0" quotePrefix="0" xfId="0">
      <alignment horizontal="center" vertical="center"/>
    </xf>
    <xf numFmtId="167" fontId="12" fillId="4" borderId="2" applyAlignment="1" pivotButton="0" quotePrefix="0" xfId="0">
      <alignment horizontal="center"/>
    </xf>
    <xf numFmtId="164" fontId="0" fillId="5" borderId="21" applyAlignment="1" applyProtection="1" pivotButton="0" quotePrefix="0" xfId="0">
      <alignment horizontal="center" vertical="center"/>
      <protection locked="0" hidden="0"/>
    </xf>
    <xf numFmtId="164" fontId="16" fillId="0" borderId="22" applyAlignment="1" applyProtection="1" pivotButton="0" quotePrefix="0" xfId="0">
      <alignment horizontal="left" vertical="center"/>
      <protection locked="0" hidden="0"/>
    </xf>
    <xf numFmtId="167" fontId="12" fillId="4" borderId="5" applyAlignment="1" pivotButton="0" quotePrefix="0" xfId="0">
      <alignment horizontal="center"/>
    </xf>
    <xf numFmtId="165" fontId="17" fillId="0" borderId="17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left"/>
    </xf>
    <xf numFmtId="164" fontId="0" fillId="5" borderId="22" applyAlignment="1" applyProtection="1" pivotButton="0" quotePrefix="0" xfId="0">
      <alignment horizontal="center" vertical="center"/>
      <protection locked="0" hidden="0"/>
    </xf>
    <xf numFmtId="164" fontId="0" fillId="5" borderId="23" applyAlignment="1" applyProtection="1" pivotButton="0" quotePrefix="0" xfId="0">
      <alignment horizontal="center" vertical="center"/>
      <protection locked="0" hidden="0"/>
    </xf>
    <xf numFmtId="164" fontId="27" fillId="0" borderId="31" applyAlignment="1" applyProtection="1" pivotButton="0" quotePrefix="0" xfId="0">
      <alignment horizontal="left" vertical="top"/>
      <protection locked="0" hidden="0"/>
    </xf>
    <xf numFmtId="164" fontId="13" fillId="0" borderId="25" applyAlignment="1" pivotButton="0" quotePrefix="0" xfId="0">
      <alignment horizontal="center" vertical="top"/>
    </xf>
    <xf numFmtId="167" fontId="28" fillId="4" borderId="5" applyAlignment="1" pivotButton="0" quotePrefix="0" xfId="0">
      <alignment horizontal="center"/>
    </xf>
    <xf numFmtId="164" fontId="23" fillId="0" borderId="31" applyAlignment="1" applyProtection="1" pivotButton="0" quotePrefix="0" xfId="0">
      <alignment horizontal="center" vertical="center" wrapText="1"/>
      <protection locked="0" hidden="0"/>
    </xf>
    <xf numFmtId="164" fontId="0" fillId="5" borderId="26" applyAlignment="1" applyProtection="1" pivotButton="0" quotePrefix="0" xfId="0">
      <alignment horizontal="center" vertical="center"/>
      <protection locked="0" hidden="0"/>
    </xf>
    <xf numFmtId="164" fontId="23" fillId="0" borderId="31" applyAlignment="1" applyProtection="1" pivotButton="0" quotePrefix="0" xfId="0">
      <alignment horizontal="left" vertical="center"/>
      <protection locked="0" hidden="0"/>
    </xf>
    <xf numFmtId="164" fontId="23" fillId="0" borderId="33" applyAlignment="1" applyProtection="1" pivotButton="0" quotePrefix="0" xfId="0">
      <alignment horizontal="left" vertical="center"/>
      <protection locked="0" hidden="0"/>
    </xf>
    <xf numFmtId="164" fontId="0" fillId="5" borderId="52" applyAlignment="1" applyProtection="1" pivotButton="0" quotePrefix="0" xfId="0">
      <alignment horizontal="center" vertical="center"/>
      <protection locked="0" hidden="0"/>
    </xf>
    <xf numFmtId="164" fontId="0" fillId="5" borderId="53" applyAlignment="1" applyProtection="1" pivotButton="0" quotePrefix="0" xfId="0">
      <alignment horizontal="center" vertical="center"/>
      <protection locked="0" hidden="0"/>
    </xf>
    <xf numFmtId="164" fontId="29" fillId="5" borderId="18" applyAlignment="1" pivotButton="0" quotePrefix="0" xfId="0">
      <alignment horizontal="center" vertical="center" wrapText="1"/>
    </xf>
    <xf numFmtId="164" fontId="0" fillId="0" borderId="31" applyAlignment="1" applyProtection="1" pivotButton="0" quotePrefix="0" xfId="0">
      <alignment horizontal="left" vertical="top"/>
      <protection locked="0" hidden="0"/>
    </xf>
    <xf numFmtId="164" fontId="16" fillId="0" borderId="27" applyAlignment="1" applyProtection="1" pivotButton="0" quotePrefix="0" xfId="0">
      <alignment horizontal="center" vertical="center"/>
      <protection locked="0" hidden="0"/>
    </xf>
    <xf numFmtId="164" fontId="16" fillId="0" borderId="31" applyAlignment="1" applyProtection="1" pivotButton="0" quotePrefix="0" xfId="0">
      <alignment horizontal="left" vertical="center"/>
      <protection locked="0" hidden="0"/>
    </xf>
    <xf numFmtId="164" fontId="16" fillId="0" borderId="31" applyAlignment="1" applyProtection="1" pivotButton="0" quotePrefix="0" xfId="0">
      <alignment horizontal="center" vertical="center"/>
      <protection locked="0" hidden="0"/>
    </xf>
    <xf numFmtId="164" fontId="26" fillId="0" borderId="27" applyAlignment="1" applyProtection="1" pivotButton="0" quotePrefix="0" xfId="0">
      <alignment horizontal="left" vertical="center"/>
      <protection locked="0" hidden="0"/>
    </xf>
    <xf numFmtId="164" fontId="16" fillId="0" borderId="33" applyAlignment="1" applyProtection="1" pivotButton="0" quotePrefix="0" xfId="0">
      <alignment horizontal="left" vertical="center"/>
      <protection locked="0" hidden="0"/>
    </xf>
    <xf numFmtId="164" fontId="0" fillId="5" borderId="31" applyAlignment="1" applyProtection="1" pivotButton="0" quotePrefix="0" xfId="0">
      <alignment horizontal="center" vertical="center"/>
      <protection locked="0" hidden="0"/>
    </xf>
    <xf numFmtId="164" fontId="0" fillId="5" borderId="33" applyAlignment="1" applyProtection="1" pivotButton="0" quotePrefix="0" xfId="0">
      <alignment horizontal="center" vertical="center"/>
      <protection locked="0" hidden="0"/>
    </xf>
    <xf numFmtId="164" fontId="0" fillId="5" borderId="31" applyAlignment="1" applyProtection="1" pivotButton="0" quotePrefix="0" xfId="0">
      <alignment horizontal="left" vertical="center"/>
      <protection locked="0" hidden="0"/>
    </xf>
    <xf numFmtId="164" fontId="0" fillId="5" borderId="33" applyAlignment="1" applyProtection="1" pivotButton="0" quotePrefix="0" xfId="0">
      <alignment horizontal="left" vertical="center"/>
      <protection locked="0" hidden="0"/>
    </xf>
    <xf numFmtId="164" fontId="0" fillId="5" borderId="27" applyAlignment="1" applyProtection="1" pivotButton="0" quotePrefix="0" xfId="0">
      <alignment horizontal="left" vertical="center"/>
      <protection locked="0" hidden="0"/>
    </xf>
    <xf numFmtId="164" fontId="0" fillId="5" borderId="31" applyAlignment="1" applyProtection="1" pivotButton="0" quotePrefix="0" xfId="0">
      <alignment horizontal="left" vertical="top"/>
      <protection locked="0" hidden="0"/>
    </xf>
    <xf numFmtId="164" fontId="2" fillId="5" borderId="31" applyAlignment="1" applyProtection="1" pivotButton="0" quotePrefix="0" xfId="0">
      <alignment horizontal="center" vertical="center"/>
      <protection locked="0" hidden="0"/>
    </xf>
    <xf numFmtId="165" fontId="17" fillId="5" borderId="47" applyAlignment="1" pivotButton="0" quotePrefix="0" xfId="0">
      <alignment horizontal="center" vertical="center" wrapText="1"/>
    </xf>
    <xf numFmtId="165" fontId="17" fillId="5" borderId="45" applyAlignment="1" pivotButton="0" quotePrefix="0" xfId="0">
      <alignment horizontal="center" vertical="center" wrapText="1"/>
    </xf>
    <xf numFmtId="165" fontId="17" fillId="5" borderId="17" applyAlignment="1" pivotButton="0" quotePrefix="0" xfId="0">
      <alignment horizontal="center" vertical="center" wrapText="1"/>
    </xf>
    <xf numFmtId="169" fontId="30" fillId="5" borderId="21" applyAlignment="1" applyProtection="1" pivotButton="0" quotePrefix="0" xfId="0">
      <alignment horizontal="center" vertical="center"/>
      <protection locked="0" hidden="0"/>
    </xf>
    <xf numFmtId="169" fontId="30" fillId="5" borderId="22" applyAlignment="1" applyProtection="1" pivotButton="0" quotePrefix="0" xfId="0">
      <alignment horizontal="center" vertical="center"/>
      <protection locked="0" hidden="0"/>
    </xf>
    <xf numFmtId="169" fontId="30" fillId="5" borderId="23" applyAlignment="1" applyProtection="1" pivotButton="0" quotePrefix="0" xfId="0">
      <alignment horizontal="center" vertical="center"/>
      <protection locked="0" hidden="0"/>
    </xf>
    <xf numFmtId="169" fontId="0" fillId="0" borderId="31" applyAlignment="1" applyProtection="1" pivotButton="0" quotePrefix="0" xfId="0">
      <alignment horizontal="left" vertical="center"/>
      <protection locked="0" hidden="0"/>
    </xf>
    <xf numFmtId="169" fontId="0" fillId="0" borderId="32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/>
  </cellStyles>
  <dxfs count="320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selection activeCell="K6" sqref="K6:N6"/>
    </sheetView>
  </sheetViews>
  <sheetFormatPr baseColWidth="8" defaultRowHeight="15"/>
  <cols>
    <col width="6.85546875" customWidth="1" min="3" max="3"/>
    <col width="6" customWidth="1" min="4" max="4"/>
    <col width="9.7109375" customWidth="1" min="13" max="13"/>
    <col width="9.140625" customWidth="1" min="14" max="1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43830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 t="inlineStr">
        <is>
          <t>xxx</t>
        </is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 t="n">
        <v>0.3333333333333333</v>
      </c>
      <c r="M7" s="301" t="inlineStr">
        <is>
          <t>8:00 às 17:00</t>
        </is>
      </c>
      <c r="N7" s="302" t="inlineStr">
        <is>
          <t>Flexível</t>
        </is>
      </c>
    </row>
    <row r="8" ht="16.5" customHeight="1">
      <c r="A8" s="295" t="inlineStr">
        <is>
          <t>FUNÇÃO:</t>
        </is>
      </c>
      <c r="B8" s="296" t="n"/>
      <c r="C8" s="303" t="inlineStr">
        <is>
          <t>xxx</t>
        </is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 t="inlineStr">
        <is>
          <t>xxx</t>
        </is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 t="inlineStr">
        <is>
          <t>xx</t>
        </is>
      </c>
      <c r="L9" s="296" t="n"/>
      <c r="M9" s="38" t="inlineStr">
        <is>
          <t>EXERCÍCIO:</t>
        </is>
      </c>
      <c r="N9" s="42" t="n">
        <v>2019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 t="inlineStr">
        <is>
          <t>Superintência Regional de Educação de Carapina</t>
        </is>
      </c>
      <c r="D10" s="297" t="n"/>
      <c r="E10" s="297" t="n"/>
      <c r="F10" s="297" t="n"/>
      <c r="G10" s="297" t="n"/>
      <c r="H10" s="297" t="n"/>
      <c r="I10" s="298" t="n"/>
      <c r="J10" s="308" t="inlineStr">
        <is>
          <t>NÚMERO FUNCIONAL:</t>
        </is>
      </c>
      <c r="K10" s="296" t="n"/>
      <c r="L10" s="43" t="inlineStr">
        <is>
          <t>xx</t>
        </is>
      </c>
      <c r="M10" s="37" t="inlineStr">
        <is>
          <t>VÍNCULO:</t>
        </is>
      </c>
      <c r="N10" s="44" t="inlineStr">
        <is>
          <t>xx</t>
        </is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 t="inlineStr">
        <is>
          <t>Estatutário</t>
        </is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P12" s="173" t="inlineStr">
        <is>
          <t>saldo acumulado até hoje</t>
        </is>
      </c>
      <c r="Q12" s="47" t="n"/>
      <c r="R12" s="319">
        <f>SUM(U14:U44)+SUM(FEV!U14:U44)+SUM(MAR!U14:U44)+SUM(ABR!U14:U44)+SUM(MAIO!U14:U44)+SUM(JUN!U14:U44)+SUM(JUL!U14:U44)+SUM(AGO!U14:U44)+SUM(SET!U14:U44)+SUM(OUT!U14:U44)+SUM(NOV!U14:U44)+SUM(DEZ!U14:U44)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</row>
    <row r="14" ht="16.5" customHeight="1" thickBot="1">
      <c r="A14" s="17" t="inlineStr">
        <is>
          <t>F</t>
        </is>
      </c>
      <c r="B14" s="45">
        <f>K6</f>
        <v/>
      </c>
      <c r="C14" s="323">
        <f>WEEKDAY(B14)+1</f>
        <v/>
      </c>
      <c r="D14" s="292" t="n"/>
      <c r="E14" s="293" t="n"/>
      <c r="F14" s="423" t="n">
        <v>0.3333333333333333</v>
      </c>
      <c r="G14" s="424" t="n">
        <v>0.5</v>
      </c>
      <c r="H14" s="424" t="n">
        <v>0.5416666666666666</v>
      </c>
      <c r="I14" s="425" t="n">
        <v>0.7083333333333334</v>
      </c>
      <c r="J14" s="327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33">
        <f>WEEKDAY(B15)+1</f>
        <v/>
      </c>
      <c r="D15" s="297" t="n"/>
      <c r="E15" s="298" t="n"/>
      <c r="F15" s="324" t="n">
        <v>0</v>
      </c>
      <c r="G15" s="325" t="n">
        <v>0</v>
      </c>
      <c r="H15" s="325" t="n">
        <v>0</v>
      </c>
      <c r="I15" s="326" t="n">
        <v>0</v>
      </c>
      <c r="J15" s="334" t="n"/>
      <c r="K15" s="335" t="n"/>
      <c r="L15" s="329" t="inlineStr">
        <is>
          <t>ATESTADO</t>
        </is>
      </c>
      <c r="M15" s="330" t="inlineStr">
        <is>
          <t>ATESTADO</t>
        </is>
      </c>
      <c r="N15" s="331" t="inlineStr">
        <is>
          <t>ATESTADO</t>
        </is>
      </c>
      <c r="O15" s="336" t="n"/>
      <c r="P15" s="332" t="n">
        <v>0</v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33">
        <f>WEEKDAY(B16)+1</f>
        <v/>
      </c>
      <c r="D16" s="297" t="n"/>
      <c r="E16" s="298" t="n"/>
      <c r="F16" s="423" t="n">
        <v>0.3333333333333333</v>
      </c>
      <c r="G16" s="424" t="n">
        <v>0.5</v>
      </c>
      <c r="H16" s="424" t="n">
        <v>0.5416666666666666</v>
      </c>
      <c r="I16" s="425" t="n">
        <v>0.7083333333333334</v>
      </c>
      <c r="J16" s="426" t="n">
        <v>0.7083333333333334</v>
      </c>
      <c r="K16" s="427" t="n">
        <v>0.75</v>
      </c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33">
        <f>WEEKDAY(B17)+1</f>
        <v/>
      </c>
      <c r="D17" s="297" t="n"/>
      <c r="E17" s="298" t="n"/>
      <c r="F17" s="324" t="n">
        <v>0</v>
      </c>
      <c r="G17" s="325" t="n">
        <v>0</v>
      </c>
      <c r="H17" s="325" t="n">
        <v>0</v>
      </c>
      <c r="I17" s="326" t="n">
        <v>0</v>
      </c>
      <c r="J17" s="339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33">
        <f>WEEKDAY(B18)+1</f>
        <v/>
      </c>
      <c r="D18" s="297" t="n"/>
      <c r="E18" s="298" t="n"/>
      <c r="F18" s="324" t="n">
        <v>0</v>
      </c>
      <c r="G18" s="325" t="n">
        <v>0</v>
      </c>
      <c r="H18" s="325" t="n">
        <v>0</v>
      </c>
      <c r="I18" s="326" t="n">
        <v>0</v>
      </c>
      <c r="J18" s="337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33">
        <f>WEEKDAY(B19)+1</f>
        <v/>
      </c>
      <c r="D19" s="297" t="n"/>
      <c r="E19" s="298" t="n"/>
      <c r="F19" s="341" t="n">
        <v>0</v>
      </c>
      <c r="G19" s="342" t="n">
        <v>0</v>
      </c>
      <c r="H19" s="342" t="n">
        <v>0</v>
      </c>
      <c r="I19" s="343" t="n">
        <v>0</v>
      </c>
      <c r="J19" s="334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33">
        <f>WEEKDAY(B20)+1</f>
        <v/>
      </c>
      <c r="D20" s="297" t="n"/>
      <c r="E20" s="298" t="n"/>
      <c r="F20" s="341" t="n">
        <v>0</v>
      </c>
      <c r="G20" s="342" t="n">
        <v>0</v>
      </c>
      <c r="H20" s="342" t="n">
        <v>0</v>
      </c>
      <c r="I20" s="343" t="n">
        <v>0</v>
      </c>
      <c r="J20" s="334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33">
        <f>WEEKDAY(B21)+1</f>
        <v/>
      </c>
      <c r="D21" s="297" t="n"/>
      <c r="E21" s="298" t="n"/>
      <c r="F21" s="324" t="n">
        <v>0</v>
      </c>
      <c r="G21" s="325" t="n">
        <v>0</v>
      </c>
      <c r="H21" s="325" t="n">
        <v>0</v>
      </c>
      <c r="I21" s="326" t="n">
        <v>0</v>
      </c>
      <c r="J21" s="339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33">
        <f>WEEKDAY(B22)+1</f>
        <v/>
      </c>
      <c r="D22" s="297" t="n"/>
      <c r="E22" s="298" t="n"/>
      <c r="F22" s="324" t="n">
        <v>0</v>
      </c>
      <c r="G22" s="325" t="n">
        <v>0</v>
      </c>
      <c r="H22" s="325" t="n">
        <v>0</v>
      </c>
      <c r="I22" s="326" t="n">
        <v>0</v>
      </c>
      <c r="J22" s="337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33">
        <f>WEEKDAY(B23)+1</f>
        <v/>
      </c>
      <c r="D23" s="297" t="n"/>
      <c r="E23" s="298" t="n"/>
      <c r="F23" s="324" t="n">
        <v>0</v>
      </c>
      <c r="G23" s="325" t="n">
        <v>0</v>
      </c>
      <c r="H23" s="325" t="n">
        <v>0</v>
      </c>
      <c r="I23" s="326" t="n">
        <v>0</v>
      </c>
      <c r="J23" s="334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33">
        <f>WEEKDAY(B24)+1</f>
        <v/>
      </c>
      <c r="D24" s="297" t="n"/>
      <c r="E24" s="298" t="n"/>
      <c r="F24" s="324" t="n">
        <v>0</v>
      </c>
      <c r="G24" s="325" t="n">
        <v>0</v>
      </c>
      <c r="H24" s="325" t="n">
        <v>0</v>
      </c>
      <c r="I24" s="326" t="n">
        <v>0</v>
      </c>
      <c r="J24" s="337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33">
        <f>WEEKDAY(B25)+1</f>
        <v/>
      </c>
      <c r="D25" s="297" t="n"/>
      <c r="E25" s="298" t="n"/>
      <c r="F25" s="324" t="n">
        <v>0</v>
      </c>
      <c r="G25" s="325" t="n">
        <v>0</v>
      </c>
      <c r="H25" s="325" t="n">
        <v>0</v>
      </c>
      <c r="I25" s="326" t="n">
        <v>0</v>
      </c>
      <c r="J25" s="334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33">
        <f>WEEKDAY(B26)+1</f>
        <v/>
      </c>
      <c r="D26" s="297" t="n"/>
      <c r="E26" s="298" t="n"/>
      <c r="F26" s="341" t="n">
        <v>0</v>
      </c>
      <c r="G26" s="342" t="n">
        <v>0</v>
      </c>
      <c r="H26" s="342" t="n">
        <v>0</v>
      </c>
      <c r="I26" s="343" t="n">
        <v>0</v>
      </c>
      <c r="J26" s="339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33">
        <f>WEEKDAY(B27)+1</f>
        <v/>
      </c>
      <c r="D27" s="297" t="n"/>
      <c r="E27" s="298" t="n"/>
      <c r="F27" s="341" t="n">
        <v>0</v>
      </c>
      <c r="G27" s="342" t="n">
        <v>0</v>
      </c>
      <c r="H27" s="342" t="n">
        <v>0</v>
      </c>
      <c r="I27" s="343" t="n">
        <v>0</v>
      </c>
      <c r="J27" s="337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33">
        <f>WEEKDAY(B28)+1</f>
        <v/>
      </c>
      <c r="D28" s="297" t="n"/>
      <c r="E28" s="298" t="n"/>
      <c r="F28" s="324" t="n">
        <v>0</v>
      </c>
      <c r="G28" s="325" t="n">
        <v>0</v>
      </c>
      <c r="H28" s="325" t="n">
        <v>0</v>
      </c>
      <c r="I28" s="326" t="n">
        <v>0</v>
      </c>
      <c r="J28" s="334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33">
        <f>WEEKDAY(B29)+1</f>
        <v/>
      </c>
      <c r="D29" s="297" t="n"/>
      <c r="E29" s="298" t="n"/>
      <c r="F29" s="324" t="n">
        <v>0</v>
      </c>
      <c r="G29" s="325" t="n">
        <v>0</v>
      </c>
      <c r="H29" s="325" t="n">
        <v>0</v>
      </c>
      <c r="I29" s="326" t="n">
        <v>0</v>
      </c>
      <c r="J29" s="339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33">
        <f>WEEKDAY(B30)+1</f>
        <v/>
      </c>
      <c r="D30" s="297" t="n"/>
      <c r="E30" s="298" t="n"/>
      <c r="F30" s="324" t="n">
        <v>0</v>
      </c>
      <c r="G30" s="325" t="n">
        <v>0</v>
      </c>
      <c r="H30" s="325" t="n">
        <v>0</v>
      </c>
      <c r="I30" s="326" t="n">
        <v>0</v>
      </c>
      <c r="J30" s="337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33">
        <f>WEEKDAY(B31)+1</f>
        <v/>
      </c>
      <c r="D31" s="297" t="n"/>
      <c r="E31" s="298" t="n"/>
      <c r="F31" s="324" t="n">
        <v>0</v>
      </c>
      <c r="G31" s="325" t="n">
        <v>0</v>
      </c>
      <c r="H31" s="325" t="n">
        <v>0</v>
      </c>
      <c r="I31" s="326" t="n">
        <v>0</v>
      </c>
      <c r="J31" s="339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33">
        <f>WEEKDAY(B32)+1</f>
        <v/>
      </c>
      <c r="D32" s="297" t="n"/>
      <c r="E32" s="298" t="n"/>
      <c r="F32" s="324" t="n">
        <v>0</v>
      </c>
      <c r="G32" s="325" t="n">
        <v>0</v>
      </c>
      <c r="H32" s="325" t="n">
        <v>0</v>
      </c>
      <c r="I32" s="32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33">
        <f>WEEKDAY(B33)+1</f>
        <v/>
      </c>
      <c r="D33" s="297" t="n"/>
      <c r="E33" s="298" t="n"/>
      <c r="F33" s="341" t="n">
        <v>0</v>
      </c>
      <c r="G33" s="342" t="n">
        <v>0</v>
      </c>
      <c r="H33" s="342" t="n">
        <v>0</v>
      </c>
      <c r="I33" s="343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33">
        <f>WEEKDAY(B34)+1</f>
        <v/>
      </c>
      <c r="D34" s="297" t="n"/>
      <c r="E34" s="298" t="n"/>
      <c r="F34" s="341" t="n">
        <v>0</v>
      </c>
      <c r="G34" s="342" t="n">
        <v>0</v>
      </c>
      <c r="H34" s="342" t="n">
        <v>0</v>
      </c>
      <c r="I34" s="343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33">
        <f>WEEKDAY(B35)+1</f>
        <v/>
      </c>
      <c r="D35" s="297" t="n"/>
      <c r="E35" s="298" t="n"/>
      <c r="F35" s="324" t="n">
        <v>0</v>
      </c>
      <c r="G35" s="325" t="n">
        <v>0</v>
      </c>
      <c r="H35" s="325" t="n">
        <v>0</v>
      </c>
      <c r="I35" s="32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33">
        <f>WEEKDAY(B36)+1</f>
        <v/>
      </c>
      <c r="D36" s="297" t="n"/>
      <c r="E36" s="298" t="n"/>
      <c r="F36" s="324" t="n">
        <v>0</v>
      </c>
      <c r="G36" s="325" t="n">
        <v>0</v>
      </c>
      <c r="H36" s="325" t="n">
        <v>0</v>
      </c>
      <c r="I36" s="32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33">
        <f>WEEKDAY(B37)+1</f>
        <v/>
      </c>
      <c r="D37" s="297" t="n"/>
      <c r="E37" s="298" t="n"/>
      <c r="F37" s="324" t="n">
        <v>0</v>
      </c>
      <c r="G37" s="325" t="n">
        <v>0</v>
      </c>
      <c r="H37" s="325" t="n">
        <v>0</v>
      </c>
      <c r="I37" s="32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33">
        <f>WEEKDAY(B38)+1</f>
        <v/>
      </c>
      <c r="D38" s="297" t="n"/>
      <c r="E38" s="298" t="n"/>
      <c r="F38" s="324" t="n">
        <v>0</v>
      </c>
      <c r="G38" s="325" t="n">
        <v>0</v>
      </c>
      <c r="H38" s="325" t="n">
        <v>0</v>
      </c>
      <c r="I38" s="32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33">
        <f>WEEKDAY(B39)+1</f>
        <v/>
      </c>
      <c r="D39" s="297" t="n"/>
      <c r="E39" s="298" t="n"/>
      <c r="F39" s="324" t="n">
        <v>0</v>
      </c>
      <c r="G39" s="325" t="n">
        <v>0</v>
      </c>
      <c r="H39" s="325" t="n">
        <v>0</v>
      </c>
      <c r="I39" s="326" t="n">
        <v>0</v>
      </c>
      <c r="J39" s="337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33">
        <f>WEEKDAY(B40)+1</f>
        <v/>
      </c>
      <c r="D40" s="297" t="n"/>
      <c r="E40" s="298" t="n"/>
      <c r="F40" s="341" t="n">
        <v>0</v>
      </c>
      <c r="G40" s="342" t="n">
        <v>0</v>
      </c>
      <c r="H40" s="342" t="n">
        <v>0</v>
      </c>
      <c r="I40" s="343" t="n">
        <v>0</v>
      </c>
      <c r="J40" s="339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33">
        <f>WEEKDAY(B41)+1</f>
        <v/>
      </c>
      <c r="D41" s="297" t="n"/>
      <c r="E41" s="298" t="n"/>
      <c r="F41" s="341" t="n">
        <v>0</v>
      </c>
      <c r="G41" s="342" t="n">
        <v>0</v>
      </c>
      <c r="H41" s="342" t="n">
        <v>0</v>
      </c>
      <c r="I41" s="343" t="n">
        <v>0</v>
      </c>
      <c r="J41" s="337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33">
        <f>WEEKDAY(B42)+1</f>
        <v/>
      </c>
      <c r="D42" s="297" t="n"/>
      <c r="E42" s="298" t="n"/>
      <c r="F42" s="324" t="n">
        <v>0</v>
      </c>
      <c r="G42" s="325" t="n">
        <v>0</v>
      </c>
      <c r="H42" s="325" t="n">
        <v>0</v>
      </c>
      <c r="I42" s="326" t="n">
        <v>0</v>
      </c>
      <c r="J42" s="337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33">
        <f>WEEKDAY(B43)+1</f>
        <v/>
      </c>
      <c r="D43" s="297" t="n"/>
      <c r="E43" s="298" t="n"/>
      <c r="F43" s="324" t="n">
        <v>0</v>
      </c>
      <c r="G43" s="325" t="n">
        <v>0</v>
      </c>
      <c r="H43" s="325" t="n">
        <v>0</v>
      </c>
      <c r="I43" s="326" t="n">
        <v>0</v>
      </c>
      <c r="J43" s="337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33">
        <f>WEEKDAY(B44)+1</f>
        <v/>
      </c>
      <c r="D44" s="297" t="n"/>
      <c r="E44" s="298" t="n"/>
      <c r="F44" s="324" t="n">
        <v>0</v>
      </c>
      <c r="G44" s="325" t="n">
        <v>0</v>
      </c>
      <c r="H44" s="325" t="n">
        <v>0</v>
      </c>
      <c r="I44" s="326" t="n">
        <v>0</v>
      </c>
      <c r="J44" s="337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57" t="inlineStr">
        <is>
          <t>OBS:</t>
        </is>
      </c>
      <c r="B46" s="350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7" t="n"/>
      <c r="N53" s="35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59" t="n"/>
      <c r="N54" s="360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>
      <c r="A61" s="106" t="n"/>
      <c r="B61" s="297" t="n"/>
      <c r="C61" s="297" t="n"/>
      <c r="D61" s="297" t="n"/>
      <c r="E61" s="297" t="n"/>
      <c r="F61" s="297" t="n"/>
      <c r="G61" s="297" t="n"/>
      <c r="H61" s="297" t="n"/>
      <c r="I61" s="298" t="n"/>
      <c r="J61" s="260" t="n"/>
      <c r="K61" s="353" t="n"/>
      <c r="L61" s="354" t="n"/>
      <c r="M61" s="363" t="n"/>
      <c r="N61" s="354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2" customHeight="1" thickBot="1">
      <c r="A62" s="116" t="n"/>
      <c r="B62" s="312" t="n"/>
      <c r="C62" s="312" t="n"/>
      <c r="D62" s="312" t="n"/>
      <c r="E62" s="312" t="n"/>
      <c r="F62" s="312" t="n"/>
      <c r="G62" s="312" t="n"/>
      <c r="H62" s="312" t="n"/>
      <c r="I62" s="313" t="n"/>
      <c r="J62" s="322" t="n"/>
      <c r="K62" s="322" t="n"/>
      <c r="L62" s="318" t="n"/>
      <c r="M62" s="321" t="n"/>
      <c r="N62" s="318" t="n"/>
      <c r="O62" s="47" t="n"/>
      <c r="P62" s="47" t="n"/>
      <c r="Q62" s="47" t="n"/>
      <c r="R62" s="47" t="n"/>
      <c r="S62" s="47" t="n"/>
      <c r="T62" s="47" t="n"/>
      <c r="U62" s="47" t="n"/>
      <c r="V62" s="47" t="n"/>
    </row>
    <row r="63">
      <c r="D63" s="51" t="n"/>
      <c r="E63" s="51" t="n"/>
      <c r="F63" s="51" t="n"/>
      <c r="G63" s="51" t="n"/>
      <c r="H63" s="51" t="n"/>
      <c r="I63" s="51" t="n"/>
      <c r="J63" s="51" t="n"/>
      <c r="K63" s="51" t="n"/>
      <c r="L63" s="104" t="inlineStr">
        <is>
          <t>Colaboração do Tônio</t>
        </is>
      </c>
      <c r="M63" s="353" t="n"/>
      <c r="N63" s="353" t="n"/>
    </row>
    <row r="64"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</row>
  </sheetData>
  <mergeCells count="95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A62:I62"/>
    <mergeCell ref="R12:S12"/>
    <mergeCell ref="J59:L60"/>
    <mergeCell ref="C18:E18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L63:N63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K9:L9"/>
    <mergeCell ref="J46:M46"/>
    <mergeCell ref="C7:I7"/>
    <mergeCell ref="A55:I55"/>
    <mergeCell ref="A45:K45"/>
    <mergeCell ref="M61:N62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I11:N11"/>
    <mergeCell ref="P12:Q12"/>
    <mergeCell ref="C9:I9"/>
    <mergeCell ref="C41:E41"/>
    <mergeCell ref="J61:L62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55:N56"/>
    <mergeCell ref="A51:I51"/>
    <mergeCell ref="A60:I60"/>
    <mergeCell ref="C29:E29"/>
    <mergeCell ref="A54:I54"/>
  </mergeCells>
  <conditionalFormatting sqref="A14:A44">
    <cfRule type="containsText" priority="31" operator="containsText" dxfId="25" stopIfTrue="1" text="F">
      <formula>NOT(ISERROR(SEARCH("F",A14)))</formula>
    </cfRule>
  </conditionalFormatting>
  <conditionalFormatting sqref="C14:E44">
    <cfRule type="cellIs" priority="29" operator="equal" dxfId="11" stopIfTrue="1">
      <formula>2</formula>
    </cfRule>
    <cfRule type="cellIs" priority="30" operator="equal" dxfId="11" stopIfTrue="1">
      <formula>8</formula>
    </cfRule>
  </conditionalFormatting>
  <conditionalFormatting sqref="L45">
    <cfRule type="cellIs" priority="24" operator="equal" dxfId="10" stopIfTrue="1">
      <formula>0</formula>
    </cfRule>
  </conditionalFormatting>
  <conditionalFormatting sqref="L14:M44">
    <cfRule type="cellIs" priority="26" operator="equal" dxfId="10" stopIfTrue="1">
      <formula>0</formula>
    </cfRule>
  </conditionalFormatting>
  <conditionalFormatting sqref="L14:N44">
    <cfRule type="containsText" priority="33" operator="containsText" dxfId="20" stopIfTrue="1" text="NÃO ÚTIL">
      <formula>NOT(ISERROR(SEARCH("NÃO ÚTIL",L14)))</formula>
    </cfRule>
  </conditionalFormatting>
  <conditionalFormatting sqref="L14:N45">
    <cfRule type="cellIs" priority="25" operator="greaterThan" dxfId="10" stopIfTrue="1">
      <formula>0</formula>
    </cfRule>
    <cfRule type="cellIs" priority="27" operator="lessThan" dxfId="11" stopIfTrue="1">
      <formula>0</formula>
    </cfRule>
  </conditionalFormatting>
  <conditionalFormatting sqref="M61">
    <cfRule type="cellIs" priority="12" operator="equal" dxfId="13" stopIfTrue="1">
      <formula>0</formula>
    </cfRule>
    <cfRule type="containsText" priority="13" operator="containsText" dxfId="12" stopIfTrue="1" text="credor">
      <formula>NOT(ISERROR(SEARCH("credor",M61)))</formula>
    </cfRule>
    <cfRule type="containsText" priority="14" operator="containsText" dxfId="11" stopIfTrue="1" text="devedor">
      <formula>NOT(ISERROR(SEARCH("devedor",M61)))</formula>
    </cfRule>
    <cfRule type="cellIs" priority="15" operator="greaterThan" dxfId="10" stopIfTrue="1">
      <formula>0</formula>
    </cfRule>
    <cfRule type="cellIs" priority="16" operator="lessThan" dxfId="11" stopIfTrue="1">
      <formula>0</formula>
    </cfRule>
  </conditionalFormatting>
  <conditionalFormatting sqref="M47:N48">
    <cfRule type="cellIs" priority="17" operator="equal" dxfId="10" stopIfTrue="1">
      <formula>0</formula>
    </cfRule>
  </conditionalFormatting>
  <conditionalFormatting sqref="M47:N52 M53 M55 M57:N58 M59">
    <cfRule type="cellIs" priority="23" operator="lessThan" dxfId="11" stopIfTrue="1">
      <formula>0</formula>
    </cfRule>
    <cfRule type="cellIs" priority="22" operator="greaterThan" dxfId="10" stopIfTrue="1">
      <formula>0</formula>
    </cfRule>
  </conditionalFormatting>
  <conditionalFormatting sqref="M51:N52 M53 M55">
    <cfRule type="cellIs" priority="18" operator="equal" dxfId="14" stopIfTrue="1">
      <formula>0</formula>
    </cfRule>
  </conditionalFormatting>
  <conditionalFormatting sqref="M57:N58 M59">
    <cfRule type="cellIs" priority="19" operator="equal" dxfId="13" stopIfTrue="1">
      <formula>0</formula>
    </cfRule>
    <cfRule type="containsText" priority="20" operator="containsText" dxfId="12" stopIfTrue="1" text="credor">
      <formula>NOT(ISERROR(SEARCH("credor",M57)))</formula>
    </cfRule>
    <cfRule type="containsText" priority="21" operator="containsText" dxfId="11" stopIfTrue="1" text="devedor">
      <formula>NOT(ISERROR(SEARCH("devedor",M57)))</formula>
    </cfRule>
  </conditionalFormatting>
  <conditionalFormatting sqref="N14:N44">
    <cfRule type="cellIs" priority="28" operator="equal" dxfId="10" stopIfTrue="1">
      <formula>0</formula>
    </cfRule>
  </conditionalFormatting>
  <conditionalFormatting sqref="N14:N45">
    <cfRule type="cellIs" priority="32" operator="equal" dxfId="4" stopIfTrue="1">
      <formula>0</formula>
    </cfRule>
  </conditionalFormatting>
  <conditionalFormatting sqref="P14:P44">
    <cfRule type="expression" priority="4" dxfId="0">
      <formula>S14="HOJE"</formula>
    </cfRule>
  </conditionalFormatting>
  <conditionalFormatting sqref="Q14:Q44">
    <cfRule type="expression" priority="5" dxfId="0">
      <formula>S14="HOJE"</formula>
    </cfRule>
    <cfRule type="expression" priority="8" dxfId="6">
      <formula>Q14&lt;0</formula>
    </cfRule>
    <cfRule type="expression" priority="9" dxfId="0">
      <formula>B14=T14</formula>
    </cfRule>
  </conditionalFormatting>
  <conditionalFormatting sqref="R12">
    <cfRule type="expression" priority="1" dxfId="4">
      <formula>$R$12=0</formula>
    </cfRule>
    <cfRule type="expression" priority="2" dxfId="3">
      <formula>$R$12&gt;0</formula>
    </cfRule>
    <cfRule type="expression" priority="3" dxfId="2">
      <formula>$R$12&lt;0</formula>
    </cfRule>
  </conditionalFormatting>
  <conditionalFormatting sqref="R14:R44">
    <cfRule type="expression" priority="6" dxfId="0">
      <formula>S14="HOJE"</formula>
    </cfRule>
  </conditionalFormatting>
  <conditionalFormatting sqref="S14:S44">
    <cfRule type="expression" priority="7" dxfId="0">
      <formula>S14="HOJE"</formula>
    </cfRule>
  </conditionalFormatting>
  <pageMargins left="0.1181102362204725" right="0.1181102362204725" top="0.5905511811023623" bottom="0.3937007874015748" header="0.3149606299212598" footer="0.3149606299212598"/>
  <pageSetup orientation="portrait" paperSize="9" scale="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2"/>
  <sheetViews>
    <sheetView workbookViewId="0">
      <selection activeCell="H18" sqref="H18"/>
    </sheetView>
  </sheetViews>
  <sheetFormatPr baseColWidth="8" defaultRowHeight="15"/>
  <cols>
    <col width="5.85546875" customWidth="1" min="3" max="4"/>
    <col width="9.5703125" customWidth="1" min="13" max="13"/>
    <col width="10.5703125" customWidth="1" min="14" max="1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364" t="n"/>
      <c r="B5" s="322" t="n"/>
      <c r="C5" s="322" t="n"/>
      <c r="D5" s="322" t="n"/>
      <c r="E5" s="322" t="n"/>
      <c r="F5" s="322" t="n"/>
      <c r="G5" s="322" t="n"/>
      <c r="H5" s="322" t="n"/>
      <c r="I5" s="322" t="n"/>
      <c r="J5" s="322" t="n"/>
      <c r="K5" s="322" t="n"/>
      <c r="L5" s="322" t="n"/>
      <c r="M5" s="322" t="n"/>
      <c r="N5" s="318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365" t="n">
        <v>43496</v>
      </c>
      <c r="L6" s="292" t="n"/>
      <c r="M6" s="292" t="n"/>
      <c r="N6" s="366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COUNTIF(A14:A41,"U")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08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9" t="inlineStr">
        <is>
          <t>DIAS DA SEMANA</t>
        </is>
      </c>
      <c r="B12" s="353" t="n"/>
      <c r="C12" s="353" t="n"/>
      <c r="D12" s="353" t="n"/>
      <c r="E12" s="354" t="n"/>
      <c r="F12" s="367" t="inlineStr">
        <is>
          <t>1º TURNO</t>
        </is>
      </c>
      <c r="G12" s="347" t="n"/>
      <c r="H12" s="367" t="inlineStr">
        <is>
          <t>2º TURNO</t>
        </is>
      </c>
      <c r="I12" s="347" t="n"/>
      <c r="J12" s="367" t="inlineStr">
        <is>
          <t>3º TURNO</t>
        </is>
      </c>
      <c r="K12" s="347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  <c r="W12" s="47" t="n"/>
      <c r="X12" s="47" t="n"/>
      <c r="Y12" s="47" t="n"/>
      <c r="Z12" s="47" t="n"/>
      <c r="AA12" s="47" t="n"/>
      <c r="AB12" s="47" t="n"/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  <c r="W13" s="47" t="n"/>
      <c r="X13" s="47" t="n"/>
      <c r="Y13" s="47" t="n"/>
      <c r="Z13" s="47" t="n"/>
      <c r="AA13" s="47" t="n"/>
      <c r="AB13" s="47" t="n"/>
    </row>
    <row r="14" ht="16.5" customHeight="1" thickBot="1">
      <c r="A14" s="17">
        <f>IF(OR(C14=2,C14=8),"F","U")</f>
        <v/>
      </c>
      <c r="B14" s="45">
        <f>K6</f>
        <v/>
      </c>
      <c r="C14" s="368">
        <f>WEEKDAY(B14)+1</f>
        <v/>
      </c>
      <c r="D14" s="350" t="n"/>
      <c r="E14" s="369" t="n"/>
      <c r="F14" s="370" t="n">
        <v>0</v>
      </c>
      <c r="G14" s="371" t="n">
        <v>0</v>
      </c>
      <c r="H14" s="371" t="n">
        <v>0</v>
      </c>
      <c r="I14" s="372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  <c r="W14" s="47" t="n"/>
      <c r="X14" s="47" t="n"/>
      <c r="Y14" s="47" t="n"/>
      <c r="Z14" s="47" t="n"/>
      <c r="AA14" s="47" t="n"/>
      <c r="AB14" s="47" t="n"/>
    </row>
    <row r="15" ht="16.5" customHeight="1" thickBot="1">
      <c r="A15" s="17">
        <f>IF(OR(C15=2,C15=8),"F","U")</f>
        <v/>
      </c>
      <c r="B15" s="46">
        <f>B14+1</f>
        <v/>
      </c>
      <c r="C15" s="374">
        <f>WEEKDAY(B15)+1</f>
        <v/>
      </c>
      <c r="D15" s="305" t="n"/>
      <c r="E15" s="306" t="n"/>
      <c r="F15" s="370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  <c r="W15" s="336" t="n"/>
      <c r="X15" s="336" t="n"/>
      <c r="Y15" s="336" t="n"/>
      <c r="Z15" s="336" t="n"/>
      <c r="AA15" s="336" t="n"/>
      <c r="AB15" s="336" t="n"/>
    </row>
    <row r="16" ht="16.5" customHeight="1" thickBot="1">
      <c r="A16" s="17">
        <f>IF(OR(C16=2,C16=8),"F","U")</f>
        <v/>
      </c>
      <c r="B16" s="46">
        <f>B15+1</f>
        <v/>
      </c>
      <c r="C16" s="374">
        <f>WEEKDAY(B16)+1</f>
        <v/>
      </c>
      <c r="D16" s="305" t="n"/>
      <c r="E16" s="30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  <c r="W16" s="336" t="n"/>
      <c r="X16" s="336" t="n"/>
      <c r="Y16" s="336" t="n"/>
      <c r="Z16" s="336" t="n"/>
      <c r="AA16" s="336" t="n"/>
      <c r="AB16" s="336" t="n"/>
    </row>
    <row r="17" ht="16.5" customHeight="1" thickBot="1">
      <c r="A17" s="17">
        <f>IF(OR(C17=2,C17=8),"F","U")</f>
        <v/>
      </c>
      <c r="B17" s="46">
        <f>B16+1</f>
        <v/>
      </c>
      <c r="C17" s="374">
        <f>WEEKDAY(B17)+1</f>
        <v/>
      </c>
      <c r="D17" s="305" t="n"/>
      <c r="E17" s="306" t="n"/>
      <c r="F17" s="370" t="n">
        <v>0</v>
      </c>
      <c r="G17" s="371" t="n">
        <v>0</v>
      </c>
      <c r="H17" s="371" t="n">
        <v>0</v>
      </c>
      <c r="I17" s="372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  <c r="W17" s="47" t="n"/>
      <c r="X17" s="47" t="n"/>
      <c r="Y17" s="47" t="n"/>
      <c r="Z17" s="47" t="n"/>
      <c r="AA17" s="47" t="n"/>
      <c r="AB17" s="47" t="n"/>
    </row>
    <row r="18" ht="16.5" customHeight="1" thickBot="1">
      <c r="A18" s="17">
        <f>IF(OR(C18=2,C18=8),"F","U")</f>
        <v/>
      </c>
      <c r="B18" s="46">
        <f>B17+1</f>
        <v/>
      </c>
      <c r="C18" s="374">
        <f>WEEKDAY(B18)+1</f>
        <v/>
      </c>
      <c r="D18" s="305" t="n"/>
      <c r="E18" s="306" t="n"/>
      <c r="F18" s="370" t="n">
        <v>0</v>
      </c>
      <c r="G18" s="371" t="n">
        <v>0</v>
      </c>
      <c r="H18" s="371" t="n">
        <v>0</v>
      </c>
      <c r="I18" s="372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  <c r="W18" s="47" t="n"/>
      <c r="X18" s="47" t="n"/>
      <c r="Y18" s="47" t="n"/>
      <c r="Z18" s="47" t="n"/>
      <c r="AA18" s="47" t="n"/>
      <c r="AB18" s="47" t="n"/>
    </row>
    <row r="19" ht="16.5" customHeight="1" thickBot="1">
      <c r="A19" s="17">
        <f>IF(OR(C19=2,C19=8),"F","U")</f>
        <v/>
      </c>
      <c r="B19" s="46">
        <f>B18+1</f>
        <v/>
      </c>
      <c r="C19" s="374">
        <f>WEEKDAY(B19)+1</f>
        <v/>
      </c>
      <c r="D19" s="305" t="n"/>
      <c r="E19" s="306" t="n"/>
      <c r="F19" s="370" t="n">
        <v>0</v>
      </c>
      <c r="G19" s="371" t="n">
        <v>0</v>
      </c>
      <c r="H19" s="371" t="n">
        <v>0</v>
      </c>
      <c r="I19" s="372" t="n">
        <v>0</v>
      </c>
      <c r="J19" s="376" t="n"/>
      <c r="K19" s="338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  <c r="W19" s="47" t="n"/>
      <c r="X19" s="47" t="n"/>
      <c r="Y19" s="47" t="n"/>
      <c r="Z19" s="47" t="n"/>
      <c r="AA19" s="47" t="n"/>
      <c r="AB19" s="47" t="n"/>
    </row>
    <row r="20" ht="16.5" customHeight="1" thickBot="1">
      <c r="A20" s="17">
        <f>IF(OR(C20=2,C20=8),"F","U")</f>
        <v/>
      </c>
      <c r="B20" s="46">
        <f>B19+1</f>
        <v/>
      </c>
      <c r="C20" s="374">
        <f>WEEKDAY(B20)+1</f>
        <v/>
      </c>
      <c r="D20" s="305" t="n"/>
      <c r="E20" s="306" t="n"/>
      <c r="F20" s="370" t="n">
        <v>0</v>
      </c>
      <c r="G20" s="371" t="n">
        <v>0</v>
      </c>
      <c r="H20" s="371" t="n">
        <v>0</v>
      </c>
      <c r="I20" s="372" t="n">
        <v>0</v>
      </c>
      <c r="J20" s="376" t="n"/>
      <c r="K20" s="338" t="n"/>
      <c r="L20" s="329">
        <f>IF(A20="U",(G20-F20)+(I20-H20)+(K20-J20),"NÃO ÚTIL")</f>
        <v/>
      </c>
      <c r="M20" s="330" t="n">
        <v>0.3333333333333333</v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  <c r="W20" s="47" t="n"/>
      <c r="X20" s="47" t="n"/>
      <c r="Y20" s="47" t="n"/>
      <c r="Z20" s="47" t="n"/>
      <c r="AA20" s="47" t="n"/>
      <c r="AB20" s="47" t="n"/>
    </row>
    <row r="21" ht="16.5" customHeight="1" thickBot="1">
      <c r="A21" s="17">
        <f>IF(OR(C21=2,C21=8),"F","U")</f>
        <v/>
      </c>
      <c r="B21" s="46">
        <f>B20+1</f>
        <v/>
      </c>
      <c r="C21" s="374">
        <f>WEEKDAY(B21)+1</f>
        <v/>
      </c>
      <c r="D21" s="305" t="n"/>
      <c r="E21" s="306" t="n"/>
      <c r="F21" s="370" t="n">
        <v>0</v>
      </c>
      <c r="G21" s="371" t="n">
        <v>0</v>
      </c>
      <c r="H21" s="371" t="n">
        <v>0</v>
      </c>
      <c r="I21" s="372" t="n">
        <v>0</v>
      </c>
      <c r="J21" s="376" t="n"/>
      <c r="K21" s="338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  <c r="W21" s="47" t="n"/>
      <c r="X21" s="47" t="n"/>
      <c r="Y21" s="47" t="n"/>
      <c r="Z21" s="47" t="n"/>
      <c r="AA21" s="47" t="n"/>
      <c r="AB21" s="47" t="n"/>
    </row>
    <row r="22" ht="16.5" customHeight="1" thickBot="1">
      <c r="A22" s="17">
        <f>IF(OR(C22=2,C22=8),"F","U")</f>
        <v/>
      </c>
      <c r="B22" s="46">
        <f>B21+1</f>
        <v/>
      </c>
      <c r="C22" s="374">
        <f>WEEKDAY(B22)+1</f>
        <v/>
      </c>
      <c r="D22" s="305" t="n"/>
      <c r="E22" s="306" t="n"/>
      <c r="F22" s="370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  <c r="W22" s="47" t="n"/>
      <c r="X22" s="47" t="n"/>
      <c r="Y22" s="47" t="n"/>
      <c r="Z22" s="47" t="n"/>
      <c r="AA22" s="47" t="n"/>
      <c r="AB22" s="47" t="n"/>
    </row>
    <row r="23" ht="16.5" customHeight="1" thickBot="1">
      <c r="A23" s="17">
        <f>IF(OR(C23=2,C23=8),"F","U")</f>
        <v/>
      </c>
      <c r="B23" s="46">
        <f>B22+1</f>
        <v/>
      </c>
      <c r="C23" s="374">
        <f>WEEKDAY(B23)+1</f>
        <v/>
      </c>
      <c r="D23" s="305" t="n"/>
      <c r="E23" s="306" t="n"/>
      <c r="F23" s="370" t="n">
        <v>0</v>
      </c>
      <c r="G23" s="371" t="n">
        <v>0</v>
      </c>
      <c r="H23" s="371" t="n">
        <v>0</v>
      </c>
      <c r="I23" s="372" t="n">
        <v>0</v>
      </c>
      <c r="J23" s="376" t="n"/>
      <c r="K23" s="338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  <c r="W23" s="47" t="n"/>
      <c r="X23" s="47" t="n"/>
      <c r="Y23" s="47" t="n"/>
      <c r="Z23" s="47" t="n"/>
      <c r="AA23" s="47" t="n"/>
      <c r="AB23" s="47" t="n"/>
    </row>
    <row r="24" ht="16.5" customHeight="1" thickBot="1">
      <c r="A24" s="17">
        <f>IF(OR(C24=2,C24=8),"F","U")</f>
        <v/>
      </c>
      <c r="B24" s="46">
        <f>B23+1</f>
        <v/>
      </c>
      <c r="C24" s="374">
        <f>WEEKDAY(B24)+1</f>
        <v/>
      </c>
      <c r="D24" s="305" t="n"/>
      <c r="E24" s="306" t="n"/>
      <c r="F24" s="370" t="n">
        <v>0</v>
      </c>
      <c r="G24" s="378" t="n">
        <v>0</v>
      </c>
      <c r="H24" s="378" t="n">
        <v>0</v>
      </c>
      <c r="I24" s="379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  <c r="W24" s="47" t="n"/>
      <c r="X24" s="47" t="n"/>
      <c r="Y24" s="47" t="n"/>
      <c r="Z24" s="47" t="n"/>
      <c r="AA24" s="47" t="n"/>
      <c r="AB24" s="47" t="n"/>
    </row>
    <row r="25" ht="16.5" customHeight="1" thickBot="1">
      <c r="A25" s="17">
        <f>IF(OR(C25=2,C25=8),"F","U")</f>
        <v/>
      </c>
      <c r="B25" s="46">
        <f>B24+1</f>
        <v/>
      </c>
      <c r="C25" s="374">
        <f>WEEKDAY(B25)+1</f>
        <v/>
      </c>
      <c r="D25" s="305" t="n"/>
      <c r="E25" s="306" t="n"/>
      <c r="F25" s="370" t="n">
        <v>0</v>
      </c>
      <c r="G25" s="371" t="n">
        <v>0</v>
      </c>
      <c r="H25" s="371" t="n">
        <v>0</v>
      </c>
      <c r="I25" s="372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  <c r="W25" s="47" t="n"/>
      <c r="X25" s="47" t="n"/>
      <c r="Y25" s="47" t="n"/>
      <c r="Z25" s="47" t="n"/>
      <c r="AA25" s="47" t="n"/>
      <c r="AB25" s="47" t="n"/>
    </row>
    <row r="26" ht="16.5" customHeight="1" thickBot="1">
      <c r="A26" s="17">
        <f>IF(OR(C26=2,C26=8),"F","U")</f>
        <v/>
      </c>
      <c r="B26" s="46">
        <f>B25+1</f>
        <v/>
      </c>
      <c r="C26" s="374">
        <f>WEEKDAY(B26)+1</f>
        <v/>
      </c>
      <c r="D26" s="305" t="n"/>
      <c r="E26" s="306" t="n"/>
      <c r="F26" s="370" t="n">
        <v>0</v>
      </c>
      <c r="G26" s="371" t="n">
        <v>0</v>
      </c>
      <c r="H26" s="371" t="n">
        <v>0</v>
      </c>
      <c r="I26" s="372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  <c r="W26" s="47" t="n"/>
      <c r="X26" s="47" t="n"/>
      <c r="Y26" s="47" t="n"/>
      <c r="Z26" s="47" t="n"/>
      <c r="AA26" s="47" t="n"/>
      <c r="AB26" s="47" t="n"/>
    </row>
    <row r="27" ht="16.5" customHeight="1" thickBot="1">
      <c r="A27" s="17">
        <f>IF(OR(C27=2,C27=8),"F","U")</f>
        <v/>
      </c>
      <c r="B27" s="46">
        <f>B26+1</f>
        <v/>
      </c>
      <c r="C27" s="374">
        <f>WEEKDAY(B27)+1</f>
        <v/>
      </c>
      <c r="D27" s="305" t="n"/>
      <c r="E27" s="306" t="n"/>
      <c r="F27" s="370" t="n">
        <v>0</v>
      </c>
      <c r="G27" s="371" t="n">
        <v>0</v>
      </c>
      <c r="H27" s="371" t="n">
        <v>0</v>
      </c>
      <c r="I27" s="372" t="n">
        <v>0</v>
      </c>
      <c r="J27" s="376" t="n"/>
      <c r="K27" s="338" t="n"/>
      <c r="L27" s="329">
        <f>IF(A27="U",(G27-F27)+(I27-H27)+(K27-J27),"NÃO ÚTIL")</f>
        <v/>
      </c>
      <c r="M27" s="330" t="n">
        <v>0.3333333333333333</v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  <c r="W27" s="47" t="n"/>
      <c r="X27" s="47" t="n"/>
      <c r="Y27" s="47" t="n"/>
      <c r="Z27" s="47" t="n"/>
      <c r="AA27" s="47" t="n"/>
      <c r="AB27" s="47" t="n"/>
    </row>
    <row r="28" ht="16.5" customHeight="1" thickBot="1">
      <c r="A28" s="17">
        <f>IF(OR(C28=2,C28=8),"F","U")</f>
        <v/>
      </c>
      <c r="B28" s="46">
        <f>B27+1</f>
        <v/>
      </c>
      <c r="C28" s="374">
        <f>WEEKDAY(B28)+1</f>
        <v/>
      </c>
      <c r="D28" s="305" t="n"/>
      <c r="E28" s="306" t="n"/>
      <c r="F28" s="370" t="n">
        <v>0</v>
      </c>
      <c r="G28" s="371" t="n">
        <v>0</v>
      </c>
      <c r="H28" s="371" t="n">
        <v>0</v>
      </c>
      <c r="I28" s="372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  <c r="W28" s="47" t="n"/>
      <c r="X28" s="47" t="n"/>
      <c r="Y28" s="47" t="n"/>
      <c r="Z28" s="47" t="n"/>
      <c r="AA28" s="47" t="n"/>
      <c r="AB28" s="47" t="n"/>
    </row>
    <row r="29" ht="16.5" customHeight="1" thickBot="1">
      <c r="A29" s="17">
        <f>IF(OR(C29=2,C29=8),"F","U")</f>
        <v/>
      </c>
      <c r="B29" s="46">
        <f>B28+1</f>
        <v/>
      </c>
      <c r="C29" s="374">
        <f>WEEKDAY(B29)+1</f>
        <v/>
      </c>
      <c r="D29" s="305" t="n"/>
      <c r="E29" s="306" t="n"/>
      <c r="F29" s="370" t="n">
        <v>0</v>
      </c>
      <c r="G29" s="371" t="n">
        <v>0</v>
      </c>
      <c r="H29" s="371" t="n">
        <v>0</v>
      </c>
      <c r="I29" s="372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  <c r="W29" s="47" t="n"/>
      <c r="X29" s="47" t="n"/>
      <c r="Y29" s="47" t="n"/>
      <c r="Z29" s="47" t="n"/>
      <c r="AA29" s="47" t="n"/>
      <c r="AB29" s="47" t="n"/>
    </row>
    <row r="30" ht="16.5" customHeight="1" thickBot="1">
      <c r="A30" s="17">
        <f>IF(OR(C30=2,C30=8),"F","U")</f>
        <v/>
      </c>
      <c r="B30" s="46">
        <f>B29+1</f>
        <v/>
      </c>
      <c r="C30" s="374">
        <f>WEEKDAY(B30)+1</f>
        <v/>
      </c>
      <c r="D30" s="305" t="n"/>
      <c r="E30" s="306" t="n"/>
      <c r="F30" s="370" t="n">
        <v>0</v>
      </c>
      <c r="G30" s="371" t="n">
        <v>0</v>
      </c>
      <c r="H30" s="371" t="n">
        <v>0</v>
      </c>
      <c r="I30" s="372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  <c r="W30" s="47" t="n"/>
      <c r="X30" s="47" t="n"/>
      <c r="Y30" s="47" t="n"/>
      <c r="Z30" s="47" t="n"/>
      <c r="AA30" s="47" t="n"/>
      <c r="AB30" s="47" t="n"/>
    </row>
    <row r="31" ht="16.5" customHeight="1" thickBot="1">
      <c r="A31" s="17">
        <f>IF(OR(C31=2,C31=8),"F","U")</f>
        <v/>
      </c>
      <c r="B31" s="46">
        <f>B30+1</f>
        <v/>
      </c>
      <c r="C31" s="374">
        <f>WEEKDAY(B31)+1</f>
        <v/>
      </c>
      <c r="D31" s="305" t="n"/>
      <c r="E31" s="306" t="n"/>
      <c r="F31" s="370" t="n">
        <v>0</v>
      </c>
      <c r="G31" s="371" t="n">
        <v>0</v>
      </c>
      <c r="H31" s="371" t="n">
        <v>0</v>
      </c>
      <c r="I31" s="372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  <c r="W31" s="47" t="n"/>
      <c r="X31" s="47" t="n"/>
      <c r="Y31" s="47" t="n"/>
      <c r="Z31" s="47" t="n"/>
      <c r="AA31" s="47" t="n"/>
      <c r="AB31" s="47" t="n"/>
    </row>
    <row r="32" ht="16.5" customHeight="1" thickBot="1">
      <c r="A32" s="17">
        <f>IF(OR(C32=2,C32=8),"F","U")</f>
        <v/>
      </c>
      <c r="B32" s="46">
        <f>B31+1</f>
        <v/>
      </c>
      <c r="C32" s="374">
        <f>WEEKDAY(B32)+1</f>
        <v/>
      </c>
      <c r="D32" s="305" t="n"/>
      <c r="E32" s="306" t="n"/>
      <c r="F32" s="370" t="n">
        <v>0</v>
      </c>
      <c r="G32" s="371" t="n">
        <v>0</v>
      </c>
      <c r="H32" s="371" t="n">
        <v>0</v>
      </c>
      <c r="I32" s="372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  <c r="W32" s="47" t="n"/>
      <c r="X32" s="47" t="n"/>
      <c r="Y32" s="47" t="n"/>
      <c r="Z32" s="47" t="n"/>
      <c r="AA32" s="47" t="n"/>
      <c r="AB32" s="47" t="n"/>
    </row>
    <row r="33" ht="16.5" customHeight="1" thickBot="1">
      <c r="A33" s="17">
        <f>IF(OR(C33=2,C33=8),"F","U")</f>
        <v/>
      </c>
      <c r="B33" s="46">
        <f>B32+1</f>
        <v/>
      </c>
      <c r="C33" s="374">
        <f>WEEKDAY(B33)+1</f>
        <v/>
      </c>
      <c r="D33" s="305" t="n"/>
      <c r="E33" s="306" t="n"/>
      <c r="F33" s="370" t="n">
        <v>0</v>
      </c>
      <c r="G33" s="371" t="n">
        <v>0</v>
      </c>
      <c r="H33" s="371" t="n">
        <v>0</v>
      </c>
      <c r="I33" s="372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  <c r="W33" s="47" t="n"/>
      <c r="X33" s="47" t="n"/>
      <c r="Y33" s="47" t="n"/>
      <c r="Z33" s="47" t="n"/>
      <c r="AA33" s="47" t="n"/>
      <c r="AB33" s="47" t="n"/>
    </row>
    <row r="34" ht="16.5" customHeight="1" thickBot="1">
      <c r="A34" s="17">
        <f>IF(OR(C34=2,C34=8),"F","U")</f>
        <v/>
      </c>
      <c r="B34" s="46">
        <f>B33+1</f>
        <v/>
      </c>
      <c r="C34" s="374">
        <f>WEEKDAY(B34)+1</f>
        <v/>
      </c>
      <c r="D34" s="305" t="n"/>
      <c r="E34" s="306" t="n"/>
      <c r="F34" s="370" t="n">
        <v>0</v>
      </c>
      <c r="G34" s="371" t="n">
        <v>0</v>
      </c>
      <c r="H34" s="371" t="n">
        <v>0</v>
      </c>
      <c r="I34" s="372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  <c r="W34" s="47" t="n"/>
      <c r="X34" s="47" t="n"/>
      <c r="Y34" s="47" t="n"/>
      <c r="Z34" s="47" t="n"/>
      <c r="AA34" s="47" t="n"/>
      <c r="AB34" s="47" t="n"/>
    </row>
    <row r="35" ht="16.5" customHeight="1" thickBot="1">
      <c r="A35" s="17">
        <f>IF(OR(C35=2,C35=8),"F","U")</f>
        <v/>
      </c>
      <c r="B35" s="46">
        <f>B34+1</f>
        <v/>
      </c>
      <c r="C35" s="374">
        <f>WEEKDAY(B35)+1</f>
        <v/>
      </c>
      <c r="D35" s="305" t="n"/>
      <c r="E35" s="306" t="n"/>
      <c r="F35" s="370" t="n">
        <v>0</v>
      </c>
      <c r="G35" s="371" t="n">
        <v>0</v>
      </c>
      <c r="H35" s="371" t="n">
        <v>0</v>
      </c>
      <c r="I35" s="372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  <c r="W35" s="47" t="n"/>
      <c r="X35" s="47" t="n"/>
      <c r="Y35" s="47" t="n"/>
      <c r="Z35" s="47" t="n"/>
      <c r="AA35" s="47" t="n"/>
      <c r="AB35" s="47" t="n"/>
    </row>
    <row r="36" ht="16.5" customHeight="1" thickBot="1">
      <c r="A36" s="17">
        <f>IF(OR(C36=2,C36=8),"F","U")</f>
        <v/>
      </c>
      <c r="B36" s="46">
        <f>B35+1</f>
        <v/>
      </c>
      <c r="C36" s="374">
        <f>WEEKDAY(B36)+1</f>
        <v/>
      </c>
      <c r="D36" s="305" t="n"/>
      <c r="E36" s="306" t="n"/>
      <c r="F36" s="370" t="n">
        <v>0</v>
      </c>
      <c r="G36" s="371" t="n">
        <v>0</v>
      </c>
      <c r="H36" s="371" t="n">
        <v>0</v>
      </c>
      <c r="I36" s="372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  <c r="W36" s="47" t="n"/>
      <c r="X36" s="47" t="n"/>
      <c r="Y36" s="47" t="n"/>
      <c r="Z36" s="47" t="n"/>
      <c r="AA36" s="47" t="n"/>
      <c r="AB36" s="47" t="n"/>
    </row>
    <row r="37" ht="16.5" customHeight="1" thickBot="1">
      <c r="A37" s="17">
        <f>IF(OR(C37=2,C37=8),"F","U")</f>
        <v/>
      </c>
      <c r="B37" s="46">
        <f>B36+1</f>
        <v/>
      </c>
      <c r="C37" s="374">
        <f>WEEKDAY(B37)+1</f>
        <v/>
      </c>
      <c r="D37" s="305" t="n"/>
      <c r="E37" s="306" t="n"/>
      <c r="F37" s="370" t="n">
        <v>0</v>
      </c>
      <c r="G37" s="371" t="n">
        <v>0</v>
      </c>
      <c r="H37" s="371" t="n">
        <v>0</v>
      </c>
      <c r="I37" s="372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  <c r="W37" s="47" t="n"/>
      <c r="X37" s="47" t="n"/>
      <c r="Y37" s="47" t="n"/>
      <c r="Z37" s="47" t="n"/>
      <c r="AA37" s="47" t="n"/>
      <c r="AB37" s="47" t="n"/>
    </row>
    <row r="38" ht="16.5" customHeight="1" thickBot="1">
      <c r="A38" s="17">
        <f>IF(OR(C38=2,C38=8),"F","U")</f>
        <v/>
      </c>
      <c r="B38" s="46">
        <f>B37+1</f>
        <v/>
      </c>
      <c r="C38" s="374">
        <f>WEEKDAY(B38)+1</f>
        <v/>
      </c>
      <c r="D38" s="305" t="n"/>
      <c r="E38" s="306" t="n"/>
      <c r="F38" s="370" t="n">
        <v>0</v>
      </c>
      <c r="G38" s="371" t="n">
        <v>0</v>
      </c>
      <c r="H38" s="371" t="n">
        <v>0</v>
      </c>
      <c r="I38" s="372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  <c r="W38" s="47" t="n"/>
      <c r="X38" s="47" t="n"/>
      <c r="Y38" s="47" t="n"/>
      <c r="Z38" s="47" t="n"/>
      <c r="AA38" s="47" t="n"/>
      <c r="AB38" s="47" t="n"/>
    </row>
    <row r="39" ht="16.5" customHeight="1" thickBot="1">
      <c r="A39" s="17">
        <f>IF(OR(C39=2,C39=8),"F","U")</f>
        <v/>
      </c>
      <c r="B39" s="46">
        <f>B38+1</f>
        <v/>
      </c>
      <c r="C39" s="374">
        <f>WEEKDAY(B39)+1</f>
        <v/>
      </c>
      <c r="D39" s="305" t="n"/>
      <c r="E39" s="306" t="n"/>
      <c r="F39" s="370" t="n">
        <v>0</v>
      </c>
      <c r="G39" s="371" t="n">
        <v>0</v>
      </c>
      <c r="H39" s="371" t="n">
        <v>0</v>
      </c>
      <c r="I39" s="372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  <c r="W39" s="47" t="n"/>
      <c r="X39" s="47" t="n"/>
      <c r="Y39" s="47" t="n"/>
      <c r="Z39" s="47" t="n"/>
      <c r="AA39" s="47" t="n"/>
      <c r="AB39" s="47" t="n"/>
    </row>
    <row r="40" ht="16.5" customHeight="1" thickBot="1">
      <c r="A40" s="17">
        <f>IF(OR(C40=2,C40=8),"F","U")</f>
        <v/>
      </c>
      <c r="B40" s="46">
        <f>B39+1</f>
        <v/>
      </c>
      <c r="C40" s="374">
        <f>WEEKDAY(B40)+1</f>
        <v/>
      </c>
      <c r="D40" s="305" t="n"/>
      <c r="E40" s="306" t="n"/>
      <c r="F40" s="370" t="n">
        <v>0</v>
      </c>
      <c r="G40" s="371" t="n">
        <v>0</v>
      </c>
      <c r="H40" s="371" t="n">
        <v>0</v>
      </c>
      <c r="I40" s="372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  <c r="W40" s="47" t="n"/>
      <c r="X40" s="47" t="n"/>
      <c r="Y40" s="47" t="n"/>
      <c r="Z40" s="47" t="n"/>
      <c r="AA40" s="47" t="n"/>
      <c r="AB40" s="47" t="n"/>
    </row>
    <row r="41" ht="16.5" customHeight="1" thickBot="1">
      <c r="A41" s="17">
        <f>IF(OR(C41=2,C41=8),"F","U")</f>
        <v/>
      </c>
      <c r="B41" s="46">
        <f>B40+1</f>
        <v/>
      </c>
      <c r="C41" s="374">
        <f>WEEKDAY(B41)+1</f>
        <v/>
      </c>
      <c r="D41" s="305" t="n"/>
      <c r="E41" s="306" t="n"/>
      <c r="F41" s="370" t="n">
        <v>0</v>
      </c>
      <c r="G41" s="371" t="n">
        <v>0</v>
      </c>
      <c r="H41" s="371" t="n">
        <v>0</v>
      </c>
      <c r="I41" s="372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  <c r="W41" s="47" t="n"/>
      <c r="X41" s="47" t="n"/>
      <c r="Y41" s="47" t="n"/>
      <c r="Z41" s="47" t="n"/>
      <c r="AA41" s="47" t="n"/>
      <c r="AB41" s="47" t="n"/>
    </row>
    <row r="42" ht="16.5" customHeight="1" thickBot="1">
      <c r="A42" s="17">
        <f>IF(OR(C42=2,C42=8),"F","U")</f>
        <v/>
      </c>
      <c r="B42" s="46">
        <f>B41+1</f>
        <v/>
      </c>
      <c r="C42" s="380">
        <f>WEEKDAY(B42)+1</f>
        <v/>
      </c>
      <c r="D42" s="315" t="n"/>
      <c r="E42" s="381" t="n"/>
      <c r="F42" s="370" t="n">
        <v>0</v>
      </c>
      <c r="G42" s="371" t="n">
        <v>0</v>
      </c>
      <c r="H42" s="371" t="n">
        <v>0</v>
      </c>
      <c r="I42" s="372" t="n">
        <v>0</v>
      </c>
      <c r="J42" s="376" t="n"/>
      <c r="K42" s="338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  <c r="W42" s="47" t="n"/>
      <c r="X42" s="47" t="n"/>
      <c r="Y42" s="47" t="n"/>
      <c r="Z42" s="47" t="n"/>
      <c r="AA42" s="47" t="n"/>
      <c r="AB42" s="47" t="n"/>
    </row>
    <row r="43" ht="23.25" customHeight="1" thickBot="1">
      <c r="A43" s="345" t="inlineStr">
        <is>
          <t>TOTAL MÊS:</t>
        </is>
      </c>
      <c r="B43" s="346" t="n"/>
      <c r="C43" s="346" t="n"/>
      <c r="D43" s="346" t="n"/>
      <c r="E43" s="346" t="n"/>
      <c r="F43" s="346" t="n"/>
      <c r="G43" s="346" t="n"/>
      <c r="H43" s="346" t="n"/>
      <c r="I43" s="346" t="n"/>
      <c r="J43" s="346" t="n"/>
      <c r="K43" s="347" t="n"/>
      <c r="L43" s="382">
        <f>SUM(L14:L42)</f>
        <v/>
      </c>
      <c r="M43" s="382">
        <f>SUM(M14:M42)</f>
        <v/>
      </c>
      <c r="N43" s="383">
        <f>SUM(N14:N42)</f>
        <v/>
      </c>
      <c r="O43" s="47" t="n"/>
      <c r="P43" s="332" t="n"/>
      <c r="Q43" s="336" t="n"/>
      <c r="R43" s="332" t="n"/>
      <c r="S43" s="47" t="n"/>
      <c r="T43" s="62" t="n"/>
      <c r="U43" s="332" t="n"/>
      <c r="V43" s="47" t="n"/>
      <c r="W43" s="47" t="n"/>
      <c r="X43" s="47" t="n"/>
      <c r="Y43" s="47" t="n"/>
      <c r="Z43" s="47" t="n"/>
      <c r="AA43" s="47" t="n"/>
      <c r="AB43" s="47" t="n"/>
    </row>
    <row r="44" ht="12" customHeight="1" thickBot="1">
      <c r="A44" s="247" t="inlineStr">
        <is>
          <t>OBS:</t>
        </is>
      </c>
      <c r="B44" s="292" t="n"/>
      <c r="C44" s="160" t="n"/>
      <c r="D44" s="292" t="n"/>
      <c r="E44" s="292" t="n"/>
      <c r="F44" s="292" t="n"/>
      <c r="G44" s="292" t="n"/>
      <c r="H44" s="292" t="n"/>
      <c r="I44" s="293" t="n"/>
      <c r="J44" s="161" t="n"/>
      <c r="K44" s="346" t="n"/>
      <c r="L44" s="346" t="n"/>
      <c r="M44" s="346" t="n"/>
      <c r="N44" s="351" t="inlineStr">
        <is>
          <t>HORA (S)</t>
        </is>
      </c>
      <c r="O44" s="47" t="n"/>
      <c r="P44" s="332" t="n"/>
      <c r="Q44" s="336" t="n"/>
      <c r="R44" s="332" t="n"/>
      <c r="S44" s="47" t="n"/>
      <c r="T44" s="62" t="n"/>
      <c r="U44" s="332" t="n"/>
      <c r="V44" s="47" t="n"/>
      <c r="W44" s="47" t="n"/>
      <c r="X44" s="47" t="n"/>
      <c r="Y44" s="47" t="n"/>
      <c r="Z44" s="47" t="n"/>
      <c r="AA44" s="47" t="n"/>
      <c r="AB44" s="47" t="n"/>
    </row>
    <row r="45" ht="12" customHeight="1">
      <c r="A45" s="106" t="n"/>
      <c r="B45" s="297" t="n"/>
      <c r="C45" s="297" t="n"/>
      <c r="D45" s="297" t="n"/>
      <c r="E45" s="297" t="n"/>
      <c r="F45" s="297" t="n"/>
      <c r="G45" s="297" t="n"/>
      <c r="H45" s="297" t="n"/>
      <c r="I45" s="298" t="n"/>
      <c r="J45" s="384" t="inlineStr">
        <is>
          <t>CARGA HORÁRIA TRABAHADA (MÊS)</t>
        </is>
      </c>
      <c r="K45" s="353" t="n"/>
      <c r="L45" s="354" t="n"/>
      <c r="M45" s="355">
        <f>L43</f>
        <v/>
      </c>
      <c r="N45" s="354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85" t="n"/>
      <c r="K46" s="322" t="n"/>
      <c r="L46" s="318" t="n"/>
      <c r="M46" s="321" t="n"/>
      <c r="N46" s="318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</row>
    <row r="47" ht="12" customHeigh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84" t="inlineStr">
        <is>
          <t>CARGA HORÁRIA PREVISTA (MÊS)</t>
        </is>
      </c>
      <c r="K47" s="353" t="n"/>
      <c r="L47" s="354" t="n"/>
      <c r="M47" s="355">
        <f>M43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  <c r="AA47" s="47" t="n"/>
      <c r="AB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85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</row>
    <row r="49" ht="12" customHeigh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86" t="inlineStr">
        <is>
          <t>SALDO CARGA HORÁRIA (MÊS)</t>
        </is>
      </c>
      <c r="K49" s="353" t="n"/>
      <c r="L49" s="354" t="n"/>
      <c r="M49" s="355">
        <f>N43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85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  <c r="AB50" s="47" t="n"/>
    </row>
    <row r="51" ht="12" customHeigh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86" t="inlineStr">
        <is>
          <t>SALDO MÊS ANTERIOR</t>
        </is>
      </c>
      <c r="K51" s="353" t="n"/>
      <c r="L51" s="354" t="n"/>
      <c r="M51" s="355">
        <f>JAN!M55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  <c r="AA51" s="47" t="n"/>
      <c r="AB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85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  <c r="AB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87" t="inlineStr">
        <is>
          <t>SALDO TOTAL</t>
        </is>
      </c>
      <c r="K53" s="353" t="n"/>
      <c r="L53" s="354" t="n"/>
      <c r="M53" s="355">
        <f>SUM(M49:N52)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  <c r="AA53" s="47" t="n"/>
      <c r="AB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85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  <c r="AB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86" t="inlineStr">
        <is>
          <t>SALDO: CREDOR? DEVEDOR?</t>
        </is>
      </c>
      <c r="K55" s="353" t="n"/>
      <c r="L55" s="354" t="n"/>
      <c r="M55" s="362">
        <f>IF(M53&lt;0,"DEVEDOR","CREDOR")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  <c r="AA55" s="47" t="n"/>
      <c r="AB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85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  <c r="AB56" s="47" t="n"/>
    </row>
    <row r="57" ht="12" customHeigh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88" t="n"/>
      <c r="K57" s="353" t="n"/>
      <c r="L57" s="354" t="n"/>
      <c r="M57" s="363" t="n"/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  <c r="AA57" s="47" t="n"/>
      <c r="AB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85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</row>
    <row r="59" ht="12" customHeight="1" thickBot="1">
      <c r="A59" s="116" t="n"/>
      <c r="B59" s="312" t="n"/>
      <c r="C59" s="312" t="n"/>
      <c r="D59" s="312" t="n"/>
      <c r="E59" s="312" t="n"/>
      <c r="F59" s="312" t="n"/>
      <c r="G59" s="312" t="n"/>
      <c r="H59" s="312" t="n"/>
      <c r="I59" s="313" t="n"/>
      <c r="J59" s="388" t="n"/>
      <c r="K59" s="346" t="n"/>
      <c r="L59" s="347" t="n"/>
      <c r="M59" s="363" t="n"/>
      <c r="N59" s="3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  <c r="AA59" s="47" t="n"/>
      <c r="AB59" s="47" t="n"/>
    </row>
    <row r="60" ht="15" customHeight="1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104" t="inlineStr">
        <is>
          <t>Colaboração do Tônio</t>
        </is>
      </c>
      <c r="M60" s="353" t="n"/>
      <c r="N60" s="353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  <c r="AB60" s="47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</row>
    <row r="62">
      <c r="P62" s="47" t="n"/>
      <c r="Q62" s="47" t="n"/>
      <c r="R62" s="47" t="n"/>
      <c r="S62" s="47" t="n"/>
      <c r="T62" s="47" t="n"/>
      <c r="U62" s="47" t="n"/>
      <c r="V62" s="47" t="n"/>
    </row>
  </sheetData>
  <mergeCells count="92">
    <mergeCell ref="A12:E13"/>
    <mergeCell ref="M59:N59"/>
    <mergeCell ref="C31:E31"/>
    <mergeCell ref="J10:K10"/>
    <mergeCell ref="C40:E40"/>
    <mergeCell ref="A56:I56"/>
    <mergeCell ref="C21:E21"/>
    <mergeCell ref="M57:N58"/>
    <mergeCell ref="A7:B7"/>
    <mergeCell ref="C23:E23"/>
    <mergeCell ref="L60:N60"/>
    <mergeCell ref="J44:M44"/>
    <mergeCell ref="A53:I53"/>
    <mergeCell ref="R12:S12"/>
    <mergeCell ref="C18:E18"/>
    <mergeCell ref="J55:L56"/>
    <mergeCell ref="M49:N50"/>
    <mergeCell ref="C34:E34"/>
    <mergeCell ref="A48:I48"/>
    <mergeCell ref="C42:E42"/>
    <mergeCell ref="A59:I59"/>
    <mergeCell ref="J45:L46"/>
    <mergeCell ref="J47:L48"/>
    <mergeCell ref="C20:E20"/>
    <mergeCell ref="C25:E25"/>
    <mergeCell ref="A46:I46"/>
    <mergeCell ref="A11:B11"/>
    <mergeCell ref="C8:I8"/>
    <mergeCell ref="C22:E22"/>
    <mergeCell ref="L8:N8"/>
    <mergeCell ref="J51:L52"/>
    <mergeCell ref="M45:N46"/>
    <mergeCell ref="J57:L58"/>
    <mergeCell ref="C39:E39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C44:I44"/>
    <mergeCell ref="C33:E33"/>
    <mergeCell ref="H12:I12"/>
    <mergeCell ref="A49:I49"/>
    <mergeCell ref="J12:K12"/>
    <mergeCell ref="M51:N52"/>
    <mergeCell ref="A4:N4"/>
    <mergeCell ref="A45:I45"/>
    <mergeCell ref="C26:E26"/>
    <mergeCell ref="C35:E35"/>
    <mergeCell ref="C16:E16"/>
    <mergeCell ref="K9:L9"/>
    <mergeCell ref="C7:I7"/>
    <mergeCell ref="A55:I55"/>
    <mergeCell ref="A57:I57"/>
    <mergeCell ref="C36:E36"/>
    <mergeCell ref="C11:E11"/>
    <mergeCell ref="K6:N6"/>
    <mergeCell ref="M53:N54"/>
    <mergeCell ref="M47:N48"/>
    <mergeCell ref="C28:E28"/>
    <mergeCell ref="C37:E37"/>
    <mergeCell ref="A2:N2"/>
    <mergeCell ref="C10:I10"/>
    <mergeCell ref="C30:E30"/>
    <mergeCell ref="C14:E14"/>
    <mergeCell ref="I11:N11"/>
    <mergeCell ref="P12:Q12"/>
    <mergeCell ref="C9:I9"/>
    <mergeCell ref="A43:K43"/>
    <mergeCell ref="J59:L59"/>
    <mergeCell ref="C41:E41"/>
    <mergeCell ref="A50:I50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55:N56"/>
    <mergeCell ref="A51:I51"/>
    <mergeCell ref="A44:B44"/>
    <mergeCell ref="C29:E29"/>
    <mergeCell ref="A54:I54"/>
  </mergeCells>
  <conditionalFormatting sqref="A14:A42">
    <cfRule type="containsText" priority="31" operator="containsText" dxfId="25" stopIfTrue="1" text="F">
      <formula>NOT(ISERROR(SEARCH("F",A14)))</formula>
    </cfRule>
  </conditionalFormatting>
  <conditionalFormatting sqref="C14:E42">
    <cfRule type="cellIs" priority="29" operator="equal" dxfId="11" stopIfTrue="1">
      <formula>2</formula>
    </cfRule>
    <cfRule type="cellIs" priority="30" operator="equal" dxfId="11" stopIfTrue="1">
      <formula>8</formula>
    </cfRule>
  </conditionalFormatting>
  <conditionalFormatting sqref="L43">
    <cfRule type="cellIs" priority="59" operator="equal" dxfId="10" stopIfTrue="1">
      <formula>0</formula>
    </cfRule>
  </conditionalFormatting>
  <conditionalFormatting sqref="L14:M42">
    <cfRule type="cellIs" priority="26" operator="equal" dxfId="10" stopIfTrue="1">
      <formula>0</formula>
    </cfRule>
  </conditionalFormatting>
  <conditionalFormatting sqref="L14:N42">
    <cfRule type="cellIs" priority="25" operator="greaterThan" dxfId="10" stopIfTrue="1">
      <formula>0</formula>
    </cfRule>
    <cfRule type="cellIs" priority="27" operator="lessThan" dxfId="11" stopIfTrue="1">
      <formula>0</formula>
    </cfRule>
  </conditionalFormatting>
  <conditionalFormatting sqref="L43:N43">
    <cfRule type="cellIs" priority="60" operator="greaterThan" dxfId="10" stopIfTrue="1">
      <formula>0</formula>
    </cfRule>
    <cfRule type="cellIs" priority="62" operator="lessThan" dxfId="11" stopIfTrue="1">
      <formula>0</formula>
    </cfRule>
  </conditionalFormatting>
  <conditionalFormatting sqref="M45:N46">
    <cfRule type="cellIs" priority="52" operator="equal" dxfId="10" stopIfTrue="1">
      <formula>0</formula>
    </cfRule>
  </conditionalFormatting>
  <conditionalFormatting sqref="M45:N50 M51 M53 M55:N56 M57">
    <cfRule type="cellIs" priority="57" operator="greaterThan" dxfId="10" stopIfTrue="1">
      <formula>0</formula>
    </cfRule>
    <cfRule type="cellIs" priority="58" operator="lessThan" dxfId="11" stopIfTrue="1">
      <formula>0</formula>
    </cfRule>
  </conditionalFormatting>
  <conditionalFormatting sqref="M49:N50 M51 M53">
    <cfRule type="cellIs" priority="53" operator="equal" dxfId="14" stopIfTrue="1">
      <formula>0</formula>
    </cfRule>
  </conditionalFormatting>
  <conditionalFormatting sqref="M55:N56 M57">
    <cfRule type="cellIs" priority="47" operator="equal" dxfId="13" stopIfTrue="1">
      <formula>0</formula>
    </cfRule>
  </conditionalFormatting>
  <conditionalFormatting sqref="N14:N42">
    <cfRule type="cellIs" priority="28" operator="equal" dxfId="10" stopIfTrue="1">
      <formula>0</formula>
    </cfRule>
    <cfRule type="cellIs" priority="32" operator="equal" dxfId="4" stopIfTrue="1">
      <formula>0</formula>
    </cfRule>
  </conditionalFormatting>
  <conditionalFormatting sqref="N43">
    <cfRule type="cellIs" priority="67" operator="equal" dxfId="4" stopIfTrue="1">
      <formula>0</formula>
    </cfRule>
  </conditionalFormatting>
  <pageMargins left="0.1181102362204725" right="0.1181102362204725" top="0.7874015748031497" bottom="0.7874015748031497" header="0.3149606299212598" footer="0.3149606299212598"/>
  <pageSetup orientation="portrait" paperSize="9" scale="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3"/>
  <sheetViews>
    <sheetView workbookViewId="0">
      <selection activeCell="F18" sqref="F18"/>
    </sheetView>
  </sheetViews>
  <sheetFormatPr baseColWidth="8" defaultRowHeight="15"/>
  <cols>
    <col width="8.42578125" customWidth="1" min="6" max="10"/>
    <col width="9.140625" customWidth="1" min="11" max="11"/>
    <col width="8.5703125" customWidth="1" min="12" max="12"/>
    <col width="9.28515625" customWidth="1" min="13" max="13"/>
    <col width="8.7109375" customWidth="1" min="14" max="1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43524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08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 t="inlineStr">
        <is>
          <t>F</t>
        </is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0" t="n">
        <v>0</v>
      </c>
      <c r="H14" s="390" t="n">
        <v>0</v>
      </c>
      <c r="I14" s="390" t="n">
        <v>0</v>
      </c>
      <c r="J14" s="391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 t="n">
        <v>0</v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2">
        <f>WEEKDAY(B15)+1</f>
        <v/>
      </c>
      <c r="D15" s="305" t="n"/>
      <c r="E15" s="296" t="n"/>
      <c r="F15" s="390" t="n">
        <v>0</v>
      </c>
      <c r="G15" s="390" t="n">
        <v>0</v>
      </c>
      <c r="H15" s="390" t="n">
        <v>0</v>
      </c>
      <c r="I15" s="390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0" t="n">
        <v>0</v>
      </c>
      <c r="G16" s="390" t="n">
        <v>0</v>
      </c>
      <c r="H16" s="390" t="n">
        <v>0</v>
      </c>
      <c r="I16" s="390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 t="inlineStr">
        <is>
          <t>U</t>
        </is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0" t="n">
        <v>0</v>
      </c>
      <c r="H17" s="390" t="n">
        <v>0</v>
      </c>
      <c r="I17" s="390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 t="inlineStr">
        <is>
          <t>F</t>
        </is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0" t="n">
        <v>0</v>
      </c>
      <c r="H18" s="390" t="n">
        <v>0</v>
      </c>
      <c r="I18" s="390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 t="inlineStr">
        <is>
          <t>F</t>
        </is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0" t="n">
        <v>0</v>
      </c>
      <c r="H19" s="390" t="n">
        <v>0</v>
      </c>
      <c r="I19" s="390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0" t="n">
        <v>0</v>
      </c>
      <c r="G20" s="390" t="n">
        <v>0</v>
      </c>
      <c r="H20" s="390" t="n">
        <v>0</v>
      </c>
      <c r="I20" s="390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0" t="n">
        <v>0</v>
      </c>
      <c r="G21" s="390" t="n">
        <v>0</v>
      </c>
      <c r="H21" s="390" t="n">
        <v>0</v>
      </c>
      <c r="I21" s="390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0" t="n">
        <v>0</v>
      </c>
      <c r="G22" s="390" t="n">
        <v>0</v>
      </c>
      <c r="H22" s="390" t="n">
        <v>0</v>
      </c>
      <c r="I22" s="390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0" t="n">
        <v>0</v>
      </c>
      <c r="H23" s="390" t="n">
        <v>0</v>
      </c>
      <c r="I23" s="390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0" t="n">
        <v>0</v>
      </c>
      <c r="H24" s="390" t="n">
        <v>0</v>
      </c>
      <c r="I24" s="390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0" t="n">
        <v>0</v>
      </c>
      <c r="H25" s="390" t="n">
        <v>0</v>
      </c>
      <c r="I25" s="390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0" t="n">
        <v>0</v>
      </c>
      <c r="H26" s="390" t="n">
        <v>0</v>
      </c>
      <c r="I26" s="390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0" t="n">
        <v>0</v>
      </c>
      <c r="H27" s="390" t="n">
        <v>0</v>
      </c>
      <c r="I27" s="390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0" t="n">
        <v>0</v>
      </c>
      <c r="H28" s="390" t="n">
        <v>0</v>
      </c>
      <c r="I28" s="390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0" t="n">
        <v>0</v>
      </c>
      <c r="H29" s="390" t="n">
        <v>0</v>
      </c>
      <c r="I29" s="390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0" t="n">
        <v>0</v>
      </c>
      <c r="H30" s="390" t="n">
        <v>0</v>
      </c>
      <c r="I30" s="390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0" t="n">
        <v>0</v>
      </c>
      <c r="H31" s="390" t="n">
        <v>0</v>
      </c>
      <c r="I31" s="390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0" t="n">
        <v>0</v>
      </c>
      <c r="H32" s="390" t="n">
        <v>0</v>
      </c>
      <c r="I32" s="390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0" t="n">
        <v>0</v>
      </c>
      <c r="H33" s="390" t="n">
        <v>0</v>
      </c>
      <c r="I33" s="390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0" t="n">
        <v>0</v>
      </c>
      <c r="H34" s="390" t="n">
        <v>0</v>
      </c>
      <c r="I34" s="390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0" t="n">
        <v>0</v>
      </c>
      <c r="H35" s="390" t="n">
        <v>0</v>
      </c>
      <c r="I35" s="390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0" t="n">
        <v>0</v>
      </c>
      <c r="G36" s="390" t="n">
        <v>0</v>
      </c>
      <c r="H36" s="390" t="n">
        <v>0</v>
      </c>
      <c r="I36" s="390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0" t="n">
        <v>0</v>
      </c>
      <c r="H37" s="390" t="n">
        <v>0</v>
      </c>
      <c r="I37" s="390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0" t="n">
        <v>0</v>
      </c>
      <c r="H38" s="390" t="n">
        <v>0</v>
      </c>
      <c r="I38" s="390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0" t="n">
        <v>0</v>
      </c>
      <c r="H39" s="390" t="n">
        <v>0</v>
      </c>
      <c r="I39" s="390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0" t="n">
        <v>0</v>
      </c>
      <c r="H40" s="390" t="n">
        <v>0</v>
      </c>
      <c r="I40" s="390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0" t="n">
        <v>0</v>
      </c>
      <c r="H41" s="390" t="n">
        <v>0</v>
      </c>
      <c r="I41" s="390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 t="inlineStr">
        <is>
          <t>U</t>
        </is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0" t="n">
        <v>0</v>
      </c>
      <c r="H42" s="390" t="n">
        <v>0</v>
      </c>
      <c r="I42" s="390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 t="inlineStr">
        <is>
          <t>U</t>
        </is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0" t="n">
        <v>0</v>
      </c>
      <c r="H43" s="390" t="n">
        <v>0</v>
      </c>
      <c r="I43" s="390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90" t="n">
        <v>0</v>
      </c>
      <c r="G44" s="390" t="n">
        <v>0</v>
      </c>
      <c r="H44" s="390" t="n">
        <v>0</v>
      </c>
      <c r="I44" s="390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 t="n">
        <v>0</v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  <row r="63">
      <c r="O63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P12:Q12"/>
    <mergeCell ref="I11:N11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39" operator="containsText" dxfId="25" stopIfTrue="1" text="F">
      <formula>NOT(ISERROR(SEARCH("F",A14)))</formula>
    </cfRule>
  </conditionalFormatting>
  <conditionalFormatting sqref="C14:E44">
    <cfRule type="cellIs" priority="37" operator="equal" dxfId="11" stopIfTrue="1">
      <formula>2</formula>
    </cfRule>
    <cfRule type="cellIs" priority="38" operator="equal" dxfId="11" stopIfTrue="1">
      <formula>8</formula>
    </cfRule>
  </conditionalFormatting>
  <conditionalFormatting sqref="L45">
    <cfRule type="cellIs" priority="32" operator="equal" dxfId="10" stopIfTrue="1">
      <formula>0</formula>
    </cfRule>
  </conditionalFormatting>
  <conditionalFormatting sqref="L14:M44">
    <cfRule type="cellIs" priority="34" operator="equal" dxfId="10" stopIfTrue="1">
      <formula>0</formula>
    </cfRule>
  </conditionalFormatting>
  <conditionalFormatting sqref="L14:N45">
    <cfRule type="cellIs" priority="33" operator="greaterThan" dxfId="10" stopIfTrue="1">
      <formula>0</formula>
    </cfRule>
    <cfRule type="cellIs" priority="35" operator="lessThan" dxfId="11" stopIfTrue="1">
      <formula>0</formula>
    </cfRule>
  </conditionalFormatting>
  <conditionalFormatting sqref="M47:N48">
    <cfRule type="cellIs" priority="28" operator="equal" dxfId="10" stopIfTrue="1">
      <formula>0</formula>
    </cfRule>
  </conditionalFormatting>
  <conditionalFormatting sqref="M47:N52 M53 M55 M57:N58 M59">
    <cfRule type="cellIs" priority="30" operator="greaterThan" dxfId="10" stopIfTrue="1">
      <formula>0</formula>
    </cfRule>
    <cfRule type="cellIs" priority="31" operator="lessThan" dxfId="11" stopIfTrue="1">
      <formula>0</formula>
    </cfRule>
  </conditionalFormatting>
  <conditionalFormatting sqref="M51:N52 M53 M55">
    <cfRule type="cellIs" priority="29" operator="equal" dxfId="14" stopIfTrue="1">
      <formula>0</formula>
    </cfRule>
  </conditionalFormatting>
  <conditionalFormatting sqref="M57:N58 M59">
    <cfRule type="cellIs" priority="25" operator="equal" dxfId="13" stopIfTrue="1">
      <formula>0</formula>
    </cfRule>
  </conditionalFormatting>
  <conditionalFormatting sqref="N14:N44">
    <cfRule type="cellIs" priority="36" operator="equal" dxfId="10" stopIfTrue="1">
      <formula>0</formula>
    </cfRule>
  </conditionalFormatting>
  <conditionalFormatting sqref="N14:N45">
    <cfRule type="cellIs" priority="40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18" workbookViewId="0">
      <selection activeCell="M52" sqref="M52:N53"/>
    </sheetView>
  </sheetViews>
  <sheetFormatPr baseColWidth="8" defaultRowHeight="15"/>
  <cols>
    <col width="6.7109375" customWidth="1" min="3" max="3"/>
    <col width="7.5703125" customWidth="1" min="4" max="4"/>
    <col width="8.85546875" customWidth="1" min="10" max="10"/>
    <col width="8.42578125" customWidth="1" min="11" max="11"/>
    <col width="9.7109375" customWidth="1" min="13" max="13"/>
    <col width="8.5703125" customWidth="1" min="14" max="14"/>
    <col width="8.140625" customWidth="1" min="15" max="15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JAN!C6:N11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43555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  <c r="P13" s="92" t="inlineStr">
        <is>
          <t> </t>
        </is>
      </c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5" t="n">
        <v>0</v>
      </c>
      <c r="H14" s="395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390" t="n">
        <v>0</v>
      </c>
      <c r="G15" s="395" t="n">
        <v>0</v>
      </c>
      <c r="H15" s="395" t="n">
        <v>0</v>
      </c>
      <c r="I15" s="396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0" t="n">
        <v>0</v>
      </c>
      <c r="G16" s="395" t="n">
        <v>0</v>
      </c>
      <c r="H16" s="395" t="n">
        <v>0</v>
      </c>
      <c r="I16" s="396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 t="inlineStr">
        <is>
          <t>U</t>
        </is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5" t="n">
        <v>0</v>
      </c>
      <c r="H17" s="395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5" t="n">
        <v>0</v>
      </c>
      <c r="H18" s="395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5" t="n">
        <v>0</v>
      </c>
      <c r="H19" s="395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70" t="n">
        <v>0</v>
      </c>
      <c r="G20" s="371" t="n">
        <v>0</v>
      </c>
      <c r="H20" s="371" t="n">
        <v>0</v>
      </c>
      <c r="I20" s="372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70" t="n">
        <v>0</v>
      </c>
      <c r="G21" s="371" t="n">
        <v>0</v>
      </c>
      <c r="H21" s="371" t="n">
        <v>0</v>
      </c>
      <c r="I21" s="372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 t="inlineStr">
        <is>
          <t>f</t>
        </is>
      </c>
      <c r="B22" s="46">
        <f>B21+1</f>
        <v/>
      </c>
      <c r="C22" s="392">
        <f>WEEKDAY(B22)+1</f>
        <v/>
      </c>
      <c r="D22" s="305" t="n"/>
      <c r="E22" s="296" t="n"/>
      <c r="F22" s="370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5" t="n">
        <v>0</v>
      </c>
      <c r="H23" s="395" t="n">
        <v>0</v>
      </c>
      <c r="I23" s="396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5" t="n">
        <v>0</v>
      </c>
      <c r="H24" s="395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5" t="n">
        <v>0</v>
      </c>
      <c r="H25" s="395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5" t="n">
        <v>0</v>
      </c>
      <c r="H26" s="395" t="n">
        <v>0</v>
      </c>
      <c r="I26" s="396" t="n">
        <v>0</v>
      </c>
      <c r="J26" s="375" t="n"/>
      <c r="K26" s="335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5" t="n">
        <v>0</v>
      </c>
      <c r="H27" s="395" t="n">
        <v>0</v>
      </c>
      <c r="I27" s="396" t="n">
        <v>0</v>
      </c>
      <c r="J27" s="375" t="n"/>
      <c r="K27" s="335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5" t="n">
        <v>0</v>
      </c>
      <c r="H28" s="395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5" t="n">
        <v>0</v>
      </c>
      <c r="H29" s="395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5" t="n">
        <v>0</v>
      </c>
      <c r="H30" s="395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5" t="n">
        <v>0</v>
      </c>
      <c r="H31" s="395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5" t="n">
        <v>0</v>
      </c>
      <c r="H32" s="395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5" t="n">
        <v>0</v>
      </c>
      <c r="H33" s="395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5" t="n">
        <v>0</v>
      </c>
      <c r="H34" s="395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5" t="n">
        <v>0</v>
      </c>
      <c r="H35" s="395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0" t="n">
        <v>0</v>
      </c>
      <c r="G36" s="395" t="n">
        <v>0</v>
      </c>
      <c r="H36" s="395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5" t="n">
        <v>0</v>
      </c>
      <c r="H37" s="395" t="n">
        <v>0</v>
      </c>
      <c r="I37" s="39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5" t="n">
        <v>0</v>
      </c>
      <c r="H38" s="395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5" t="n">
        <v>0</v>
      </c>
      <c r="H39" s="395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5" t="n">
        <v>0</v>
      </c>
      <c r="H40" s="395" t="n">
        <v>0</v>
      </c>
      <c r="I40" s="396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5" t="n">
        <v>0</v>
      </c>
      <c r="H41" s="395" t="n">
        <v>0</v>
      </c>
      <c r="I41" s="396" t="n">
        <v>0</v>
      </c>
      <c r="J41" s="397" t="n"/>
      <c r="K41" s="338" t="n"/>
      <c r="L41" s="398">
        <f>IF(A41="U",(G41-F41)+(I41-H41),"NÃO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5" t="n">
        <v>0</v>
      </c>
      <c r="H42" s="395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5" t="n">
        <v>0</v>
      </c>
      <c r="H43" s="395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MAR!M55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I11:N11"/>
    <mergeCell ref="P12:Q12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39" operator="containsText" dxfId="25" stopIfTrue="1" text="F">
      <formula>NOT(ISERROR(SEARCH("F",A14)))</formula>
    </cfRule>
  </conditionalFormatting>
  <conditionalFormatting sqref="C14:E43">
    <cfRule type="cellIs" priority="37" operator="equal" dxfId="11" stopIfTrue="1">
      <formula>2</formula>
    </cfRule>
    <cfRule type="cellIs" priority="38" operator="equal" dxfId="11" stopIfTrue="1">
      <formula>8</formula>
    </cfRule>
  </conditionalFormatting>
  <conditionalFormatting sqref="L44">
    <cfRule type="cellIs" priority="32" operator="equal" dxfId="10" stopIfTrue="1">
      <formula>0</formula>
    </cfRule>
  </conditionalFormatting>
  <conditionalFormatting sqref="L14:M43">
    <cfRule type="cellIs" priority="34" operator="equal" dxfId="10" stopIfTrue="1">
      <formula>0</formula>
    </cfRule>
  </conditionalFormatting>
  <conditionalFormatting sqref="L14:N44">
    <cfRule type="cellIs" priority="33" operator="greaterThan" dxfId="10" stopIfTrue="1">
      <formula>0</formula>
    </cfRule>
    <cfRule type="cellIs" priority="35" operator="lessThan" dxfId="11" stopIfTrue="1">
      <formula>0</formula>
    </cfRule>
  </conditionalFormatting>
  <conditionalFormatting sqref="M46:N47">
    <cfRule type="cellIs" priority="28" operator="equal" dxfId="10" stopIfTrue="1">
      <formula>0</formula>
    </cfRule>
  </conditionalFormatting>
  <conditionalFormatting sqref="M46:N51 M52 M54 M56:N57 M58">
    <cfRule type="cellIs" priority="30" operator="greaterThan" dxfId="10" stopIfTrue="1">
      <formula>0</formula>
    </cfRule>
    <cfRule type="cellIs" priority="31" operator="lessThan" dxfId="11" stopIfTrue="1">
      <formula>0</formula>
    </cfRule>
  </conditionalFormatting>
  <conditionalFormatting sqref="M50:N51 M52 M54">
    <cfRule type="cellIs" priority="29" operator="equal" dxfId="14" stopIfTrue="1">
      <formula>0</formula>
    </cfRule>
  </conditionalFormatting>
  <conditionalFormatting sqref="M56:N57 M58">
    <cfRule type="cellIs" priority="25" operator="equal" dxfId="13" stopIfTrue="1">
      <formula>0</formula>
    </cfRule>
  </conditionalFormatting>
  <conditionalFormatting sqref="N14:N43">
    <cfRule type="cellIs" priority="36" operator="equal" dxfId="10" stopIfTrue="1">
      <formula>0</formula>
    </cfRule>
  </conditionalFormatting>
  <conditionalFormatting sqref="N14:N44">
    <cfRule type="cellIs" priority="40" operator="equal" dxfId="4" stopIfTrue="1">
      <formula>0</formula>
    </cfRule>
  </conditionalFormatting>
  <pageMargins left="0" right="0" top="0.7874015748031497" bottom="0.5905511811023623" header="0.3149606299212598" footer="0.3149606299212598"/>
  <pageSetup orientation="portrait" paperSize="9" scale="8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28" workbookViewId="0">
      <selection activeCell="F14" sqref="F14:I44"/>
    </sheetView>
  </sheetViews>
  <sheetFormatPr baseColWidth="8" defaultRowHeight="15"/>
  <cols>
    <col width="4.28515625" customWidth="1" min="5" max="5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43585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 t="inlineStr">
        <is>
          <t>F</t>
        </is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0" t="n">
        <v>0</v>
      </c>
      <c r="H14" s="390" t="n">
        <v>0</v>
      </c>
      <c r="I14" s="390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2">
        <f>WEEKDAY(B15)+1</f>
        <v/>
      </c>
      <c r="D15" s="305" t="n"/>
      <c r="E15" s="296" t="n"/>
      <c r="F15" s="390" t="n">
        <v>0</v>
      </c>
      <c r="G15" s="390" t="n">
        <v>0</v>
      </c>
      <c r="H15" s="390" t="n">
        <v>0</v>
      </c>
      <c r="I15" s="390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 t="inlineStr">
        <is>
          <t>F</t>
        </is>
      </c>
      <c r="B16" s="46">
        <f>B15+1</f>
        <v/>
      </c>
      <c r="C16" s="392">
        <f>WEEKDAY(B16)+1</f>
        <v/>
      </c>
      <c r="D16" s="305" t="n"/>
      <c r="E16" s="296" t="n"/>
      <c r="F16" s="390" t="n">
        <v>0</v>
      </c>
      <c r="G16" s="390" t="n">
        <v>0</v>
      </c>
      <c r="H16" s="390" t="n">
        <v>0</v>
      </c>
      <c r="I16" s="390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0" t="n">
        <v>0</v>
      </c>
      <c r="H17" s="390" t="n">
        <v>0</v>
      </c>
      <c r="I17" s="390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0" t="n">
        <v>0</v>
      </c>
      <c r="H18" s="390" t="n">
        <v>0</v>
      </c>
      <c r="I18" s="390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0" t="n">
        <v>0</v>
      </c>
      <c r="H19" s="390" t="n">
        <v>0</v>
      </c>
      <c r="I19" s="390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0" t="n">
        <v>0</v>
      </c>
      <c r="G20" s="390" t="n">
        <v>0</v>
      </c>
      <c r="H20" s="390" t="n">
        <v>0</v>
      </c>
      <c r="I20" s="390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0" t="n">
        <v>0</v>
      </c>
      <c r="G21" s="390" t="n">
        <v>0</v>
      </c>
      <c r="H21" s="390" t="n">
        <v>0</v>
      </c>
      <c r="I21" s="390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0" t="n">
        <v>0</v>
      </c>
      <c r="G22" s="390" t="n">
        <v>0</v>
      </c>
      <c r="H22" s="390" t="n">
        <v>0</v>
      </c>
      <c r="I22" s="390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0" t="n">
        <v>0</v>
      </c>
      <c r="H23" s="390" t="n">
        <v>0</v>
      </c>
      <c r="I23" s="390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0" t="n">
        <v>0</v>
      </c>
      <c r="H24" s="390" t="n">
        <v>0</v>
      </c>
      <c r="I24" s="390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0" t="n">
        <v>0</v>
      </c>
      <c r="H25" s="390" t="n">
        <v>0</v>
      </c>
      <c r="I25" s="390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0" t="n">
        <v>0</v>
      </c>
      <c r="H26" s="390" t="n">
        <v>0</v>
      </c>
      <c r="I26" s="390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0" t="n">
        <v>0</v>
      </c>
      <c r="H27" s="390" t="n">
        <v>0</v>
      </c>
      <c r="I27" s="390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0" t="n">
        <v>0</v>
      </c>
      <c r="H28" s="390" t="n">
        <v>0</v>
      </c>
      <c r="I28" s="390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0" t="n">
        <v>0</v>
      </c>
      <c r="H29" s="390" t="n">
        <v>0</v>
      </c>
      <c r="I29" s="390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0" t="n">
        <v>0</v>
      </c>
      <c r="H30" s="390" t="n">
        <v>0</v>
      </c>
      <c r="I30" s="390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0" t="n">
        <v>0</v>
      </c>
      <c r="H31" s="390" t="n">
        <v>0</v>
      </c>
      <c r="I31" s="390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7.2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0" t="n">
        <v>0</v>
      </c>
      <c r="H32" s="390" t="n">
        <v>0</v>
      </c>
      <c r="I32" s="390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0" t="n">
        <v>0</v>
      </c>
      <c r="H33" s="390" t="n">
        <v>0</v>
      </c>
      <c r="I33" s="390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0" t="n">
        <v>0</v>
      </c>
      <c r="H34" s="390" t="n">
        <v>0</v>
      </c>
      <c r="I34" s="390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0" t="n">
        <v>0</v>
      </c>
      <c r="H35" s="390" t="n">
        <v>0</v>
      </c>
      <c r="I35" s="390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 t="inlineStr">
        <is>
          <t>F</t>
        </is>
      </c>
      <c r="B36" s="46">
        <f>B35+1</f>
        <v/>
      </c>
      <c r="C36" s="399">
        <f>WEEKDAY(B36)+1</f>
        <v/>
      </c>
      <c r="D36" s="305" t="n"/>
      <c r="E36" s="296" t="n"/>
      <c r="F36" s="390" t="n">
        <v>0</v>
      </c>
      <c r="G36" s="390" t="n">
        <v>0</v>
      </c>
      <c r="H36" s="390" t="n">
        <v>0</v>
      </c>
      <c r="I36" s="390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0" t="n">
        <v>0</v>
      </c>
      <c r="H37" s="390" t="n">
        <v>0</v>
      </c>
      <c r="I37" s="390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0" t="n">
        <v>0</v>
      </c>
      <c r="H38" s="390" t="n">
        <v>0</v>
      </c>
      <c r="I38" s="390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0" t="n">
        <v>0</v>
      </c>
      <c r="H39" s="390" t="n">
        <v>0</v>
      </c>
      <c r="I39" s="390" t="n">
        <v>0</v>
      </c>
      <c r="J39" s="400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0" t="n">
        <v>0</v>
      </c>
      <c r="H40" s="390" t="n">
        <v>0</v>
      </c>
      <c r="I40" s="390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0" t="n">
        <v>0</v>
      </c>
      <c r="H41" s="390" t="n">
        <v>0</v>
      </c>
      <c r="I41" s="390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0" t="n">
        <v>0</v>
      </c>
      <c r="H42" s="390" t="n">
        <v>0</v>
      </c>
      <c r="I42" s="390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0" t="n">
        <v>0</v>
      </c>
      <c r="H43" s="390" t="n">
        <v>0</v>
      </c>
      <c r="I43" s="390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 t="inlineStr">
        <is>
          <t>U</t>
        </is>
      </c>
      <c r="B44" s="46">
        <f>B43+1</f>
        <v/>
      </c>
      <c r="C44" s="392">
        <f>WEEKDAY(B44)+1</f>
        <v/>
      </c>
      <c r="D44" s="305" t="n"/>
      <c r="E44" s="296" t="n"/>
      <c r="F44" s="390" t="n">
        <v>0</v>
      </c>
      <c r="G44" s="390" t="n">
        <v>0</v>
      </c>
      <c r="H44" s="390" t="n">
        <v>0</v>
      </c>
      <c r="I44" s="390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ABR!M54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5" customHeight="1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46" operator="containsText" dxfId="25" stopIfTrue="1" text="F">
      <formula>NOT(ISERROR(SEARCH("F",A14)))</formula>
    </cfRule>
  </conditionalFormatting>
  <conditionalFormatting sqref="C14:E44">
    <cfRule type="cellIs" priority="44" operator="equal" dxfId="11" stopIfTrue="1">
      <formula>2</formula>
    </cfRule>
    <cfRule type="cellIs" priority="45" operator="equal" dxfId="11" stopIfTrue="1">
      <formula>8</formula>
    </cfRule>
  </conditionalFormatting>
  <conditionalFormatting sqref="L45">
    <cfRule type="cellIs" priority="39" operator="equal" dxfId="10" stopIfTrue="1">
      <formula>0</formula>
    </cfRule>
  </conditionalFormatting>
  <conditionalFormatting sqref="L14:M44">
    <cfRule type="cellIs" priority="41" operator="equal" dxfId="10" stopIfTrue="1">
      <formula>0</formula>
    </cfRule>
  </conditionalFormatting>
  <conditionalFormatting sqref="L14:N45">
    <cfRule type="cellIs" priority="40" operator="greaterThan" dxfId="10" stopIfTrue="1">
      <formula>0</formula>
    </cfRule>
    <cfRule type="cellIs" priority="42" operator="lessThan" dxfId="11" stopIfTrue="1">
      <formula>0</formula>
    </cfRule>
  </conditionalFormatting>
  <conditionalFormatting sqref="M47:N48">
    <cfRule type="cellIs" priority="35" operator="equal" dxfId="10" stopIfTrue="1">
      <formula>0</formula>
    </cfRule>
  </conditionalFormatting>
  <conditionalFormatting sqref="M47:N52 M53 M55 M57:N58 M59">
    <cfRule type="cellIs" priority="37" operator="greaterThan" dxfId="10" stopIfTrue="1">
      <formula>0</formula>
    </cfRule>
    <cfRule type="cellIs" priority="38" operator="lessThan" dxfId="11" stopIfTrue="1">
      <formula>0</formula>
    </cfRule>
  </conditionalFormatting>
  <conditionalFormatting sqref="M51:N52 M53 M55">
    <cfRule type="cellIs" priority="36" operator="equal" dxfId="14" stopIfTrue="1">
      <formula>0</formula>
    </cfRule>
  </conditionalFormatting>
  <conditionalFormatting sqref="M57:N58 M59">
    <cfRule type="cellIs" priority="32" operator="equal" dxfId="13" stopIfTrue="1">
      <formula>0</formula>
    </cfRule>
  </conditionalFormatting>
  <conditionalFormatting sqref="N14:N44">
    <cfRule type="cellIs" priority="43" operator="equal" dxfId="10" stopIfTrue="1">
      <formula>0</formula>
    </cfRule>
  </conditionalFormatting>
  <conditionalFormatting sqref="N14:N45">
    <cfRule type="cellIs" priority="47" operator="equal" dxfId="4" stopIfTrue="1">
      <formula>0</formula>
    </cfRule>
  </conditionalFormatting>
  <pageMargins left="0" right="0" top="0.5905511811023623" bottom="0.5905511811023623" header="0.3149606299212598" footer="0.3149606299212598"/>
  <pageSetup orientation="portrait" paperSize="9" scale="8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2"/>
  <sheetViews>
    <sheetView tabSelected="1" topLeftCell="A6" workbookViewId="0">
      <selection activeCell="K21" sqref="K21"/>
    </sheetView>
  </sheetViews>
  <sheetFormatPr baseColWidth="8" defaultRowHeight="15"/>
  <cols>
    <col width="4.425781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43616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 t="inlineStr">
        <is>
          <t>F</t>
        </is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5" t="n">
        <v>0</v>
      </c>
      <c r="H14" s="395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2">
        <f>WEEKDAY(B15)+1</f>
        <v/>
      </c>
      <c r="D15" s="305" t="n"/>
      <c r="E15" s="296" t="n"/>
      <c r="F15" s="401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5" t="n">
        <v>0</v>
      </c>
      <c r="H17" s="395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5" t="n">
        <v>0</v>
      </c>
      <c r="H18" s="395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5" t="n">
        <v>0</v>
      </c>
      <c r="H19" s="395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0" t="n">
        <v>0</v>
      </c>
      <c r="G20" s="395" t="n">
        <v>0</v>
      </c>
      <c r="H20" s="395" t="n">
        <v>0</v>
      </c>
      <c r="I20" s="396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0" t="n">
        <v>0</v>
      </c>
      <c r="G21" s="395" t="n">
        <v>0</v>
      </c>
      <c r="H21" s="395" t="n">
        <v>0</v>
      </c>
      <c r="I21" s="396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0" t="n">
        <v>0</v>
      </c>
      <c r="G22" s="395" t="n">
        <v>0</v>
      </c>
      <c r="H22" s="395" t="n">
        <v>0</v>
      </c>
      <c r="I22" s="396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5" t="n">
        <v>0</v>
      </c>
      <c r="H23" s="395" t="n">
        <v>0</v>
      </c>
      <c r="I23" s="396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5" t="n">
        <v>0</v>
      </c>
      <c r="H24" s="395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5" t="n">
        <v>0</v>
      </c>
      <c r="H25" s="395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5" t="n">
        <v>0</v>
      </c>
      <c r="H26" s="395" t="n">
        <v>0</v>
      </c>
      <c r="I26" s="396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5" t="n">
        <v>0</v>
      </c>
      <c r="H27" s="395" t="n">
        <v>0</v>
      </c>
      <c r="I27" s="396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5" t="n">
        <v>0</v>
      </c>
      <c r="H28" s="395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5" t="n">
        <v>0</v>
      </c>
      <c r="H29" s="395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5" t="n">
        <v>0</v>
      </c>
      <c r="H30" s="395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5" t="n">
        <v>0</v>
      </c>
      <c r="H31" s="395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5" t="n">
        <v>0</v>
      </c>
      <c r="H32" s="395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 t="inlineStr">
        <is>
          <t>F</t>
        </is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5" t="n">
        <v>0</v>
      </c>
      <c r="H33" s="395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5" t="n">
        <v>0</v>
      </c>
      <c r="H34" s="395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 t="inlineStr">
        <is>
          <t>F</t>
        </is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5" t="n">
        <v>0</v>
      </c>
      <c r="H35" s="395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0" t="n">
        <v>0</v>
      </c>
      <c r="G36" s="395" t="n">
        <v>0</v>
      </c>
      <c r="H36" s="395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5" t="n">
        <v>0</v>
      </c>
      <c r="H37" s="395" t="n">
        <v>0</v>
      </c>
      <c r="I37" s="396" t="n">
        <v>0</v>
      </c>
      <c r="J37" s="402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5" t="n">
        <v>0</v>
      </c>
      <c r="H38" s="395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5" t="n">
        <v>0</v>
      </c>
      <c r="H39" s="395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5" t="n">
        <v>0</v>
      </c>
      <c r="H40" s="395" t="n">
        <v>0</v>
      </c>
      <c r="I40" s="396" t="n">
        <v>0</v>
      </c>
      <c r="J40" s="403" t="n"/>
      <c r="K40" s="340" t="n"/>
      <c r="L40" s="329">
        <f>IF(A40="U",(G40-F40)+(I40-H40),"NÃO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5" t="n">
        <v>0</v>
      </c>
      <c r="H41" s="395" t="n">
        <v>0</v>
      </c>
      <c r="I41" s="396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5" t="n">
        <v>0</v>
      </c>
      <c r="H42" s="395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5" t="n">
        <v>0</v>
      </c>
      <c r="H43" s="395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MAIO!M55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5" customHeight="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I11:N11"/>
    <mergeCell ref="P12:Q12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48" operator="containsText" dxfId="25" stopIfTrue="1" text="F">
      <formula>NOT(ISERROR(SEARCH("F",A14)))</formula>
    </cfRule>
  </conditionalFormatting>
  <conditionalFormatting sqref="C14:E43">
    <cfRule type="cellIs" priority="46" operator="equal" dxfId="11" stopIfTrue="1">
      <formula>2</formula>
    </cfRule>
    <cfRule type="cellIs" priority="47" operator="equal" dxfId="11" stopIfTrue="1">
      <formula>8</formula>
    </cfRule>
  </conditionalFormatting>
  <conditionalFormatting sqref="L44">
    <cfRule type="cellIs" priority="41" operator="equal" dxfId="10" stopIfTrue="1">
      <formula>0</formula>
    </cfRule>
  </conditionalFormatting>
  <conditionalFormatting sqref="L14:M43">
    <cfRule type="cellIs" priority="43" operator="equal" dxfId="10" stopIfTrue="1">
      <formula>0</formula>
    </cfRule>
  </conditionalFormatting>
  <conditionalFormatting sqref="L14:N44">
    <cfRule type="cellIs" priority="42" operator="greaterThan" dxfId="10" stopIfTrue="1">
      <formula>0</formula>
    </cfRule>
    <cfRule type="cellIs" priority="44" operator="lessThan" dxfId="11" stopIfTrue="1">
      <formula>0</formula>
    </cfRule>
  </conditionalFormatting>
  <conditionalFormatting sqref="M46:N47">
    <cfRule type="cellIs" priority="37" operator="equal" dxfId="10" stopIfTrue="1">
      <formula>0</formula>
    </cfRule>
  </conditionalFormatting>
  <conditionalFormatting sqref="M46:N51 M52 M54 M56:N57 M58">
    <cfRule type="cellIs" priority="39" operator="greaterThan" dxfId="10" stopIfTrue="1">
      <formula>0</formula>
    </cfRule>
    <cfRule type="cellIs" priority="40" operator="lessThan" dxfId="11" stopIfTrue="1">
      <formula>0</formula>
    </cfRule>
  </conditionalFormatting>
  <conditionalFormatting sqref="M50:N51 M52 M54">
    <cfRule type="cellIs" priority="38" operator="equal" dxfId="14" stopIfTrue="1">
      <formula>0</formula>
    </cfRule>
  </conditionalFormatting>
  <conditionalFormatting sqref="M56:N57 M58">
    <cfRule type="cellIs" priority="34" operator="equal" dxfId="13" stopIfTrue="1">
      <formula>0</formula>
    </cfRule>
  </conditionalFormatting>
  <conditionalFormatting sqref="N14:N43">
    <cfRule type="cellIs" priority="45" operator="equal" dxfId="10" stopIfTrue="1">
      <formula>0</formula>
    </cfRule>
  </conditionalFormatting>
  <conditionalFormatting sqref="N14:N44">
    <cfRule type="cellIs" priority="49" operator="equal" dxfId="4" stopIfTrue="1">
      <formula>0</formula>
    </cfRule>
  </conditionalFormatting>
  <pageMargins left="0" right="0" top="0.5905511811023623" bottom="0.7874015748031497" header="0.3149606299212598" footer="0.3149606299212598"/>
  <pageSetup orientation="portrait" paperSize="9" scale="8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37" workbookViewId="0">
      <selection activeCell="M55" sqref="M55:N56"/>
    </sheetView>
  </sheetViews>
  <sheetFormatPr baseColWidth="8" defaultRowHeight="15"/>
  <cols>
    <col width="3.8554687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43646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93" t="inlineStr">
        <is>
          <t>--</t>
        </is>
      </c>
      <c r="G14" s="94" t="inlineStr">
        <is>
          <t>--</t>
        </is>
      </c>
      <c r="H14" s="94" t="inlineStr">
        <is>
          <t>--</t>
        </is>
      </c>
      <c r="I14" s="94" t="inlineStr">
        <is>
          <t>--</t>
        </is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95" t="inlineStr">
        <is>
          <t>--</t>
        </is>
      </c>
      <c r="G15" s="96" t="inlineStr">
        <is>
          <t>--</t>
        </is>
      </c>
      <c r="H15" s="96" t="inlineStr">
        <is>
          <t>--</t>
        </is>
      </c>
      <c r="I15" s="96" t="inlineStr">
        <is>
          <t>--</t>
        </is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97" t="n"/>
      <c r="G16" s="98" t="n"/>
      <c r="H16" s="98" t="n"/>
      <c r="I16" s="99" t="n"/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97" t="n"/>
      <c r="G17" s="98" t="n"/>
      <c r="H17" s="98" t="n"/>
      <c r="I17" s="99" t="n"/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 t="inlineStr">
        <is>
          <t>F</t>
        </is>
      </c>
      <c r="B18" s="46">
        <f>B17+1</f>
        <v/>
      </c>
      <c r="C18" s="392">
        <f>WEEKDAY(B18)+1</f>
        <v/>
      </c>
      <c r="D18" s="305" t="n"/>
      <c r="E18" s="296" t="n"/>
      <c r="F18" s="103" t="n"/>
      <c r="G18" s="103" t="n"/>
      <c r="H18" s="103" t="n"/>
      <c r="I18" s="103" t="n"/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97" t="n"/>
      <c r="G19" s="98" t="n"/>
      <c r="H19" s="98" t="n"/>
      <c r="I19" s="99" t="n"/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97" t="n"/>
      <c r="G20" s="98" t="n"/>
      <c r="H20" s="98" t="n"/>
      <c r="I20" s="99" t="n"/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95" t="n"/>
      <c r="G21" s="96" t="n"/>
      <c r="H21" s="96" t="n"/>
      <c r="I21" s="96" t="n"/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95" t="n"/>
      <c r="G22" s="96" t="n"/>
      <c r="H22" s="96" t="n"/>
      <c r="I22" s="96" t="n"/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97" t="n"/>
      <c r="G23" s="98" t="n"/>
      <c r="H23" s="98" t="n"/>
      <c r="I23" s="99" t="n"/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97" t="n"/>
      <c r="G24" s="98" t="n"/>
      <c r="H24" s="98" t="n"/>
      <c r="I24" s="99" t="n"/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97" t="n"/>
      <c r="G25" s="98" t="n"/>
      <c r="H25" s="98" t="n"/>
      <c r="I25" s="99" t="n"/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97" t="n"/>
      <c r="G26" s="98" t="n"/>
      <c r="H26" s="98" t="n"/>
      <c r="I26" s="99" t="n"/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 t="inlineStr">
        <is>
          <t>F</t>
        </is>
      </c>
      <c r="B27" s="46">
        <f>B26+1</f>
        <v/>
      </c>
      <c r="C27" s="392">
        <f>WEEKDAY(B27)+1</f>
        <v/>
      </c>
      <c r="D27" s="305" t="n"/>
      <c r="E27" s="296" t="n"/>
      <c r="F27" s="103" t="n"/>
      <c r="G27" s="103" t="n"/>
      <c r="H27" s="103" t="n"/>
      <c r="I27" s="103" t="n"/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95" t="n"/>
      <c r="G28" s="96" t="n"/>
      <c r="H28" s="96" t="n"/>
      <c r="I28" s="96" t="n"/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95" t="n"/>
      <c r="G29" s="96" t="n"/>
      <c r="H29" s="96" t="n"/>
      <c r="I29" s="96" t="n"/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97" t="n"/>
      <c r="G30" s="98" t="n"/>
      <c r="H30" s="98" t="n"/>
      <c r="I30" s="99" t="n"/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97" t="n"/>
      <c r="G31" s="98" t="n"/>
      <c r="H31" s="98" t="n"/>
      <c r="I31" s="99" t="n"/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97" t="n"/>
      <c r="G32" s="98" t="n"/>
      <c r="H32" s="98" t="n"/>
      <c r="I32" s="99" t="n"/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97" t="n"/>
      <c r="G33" s="98" t="n"/>
      <c r="H33" s="98" t="n"/>
      <c r="I33" s="99" t="n"/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97" t="n"/>
      <c r="G34" s="98" t="n"/>
      <c r="H34" s="98" t="n"/>
      <c r="I34" s="99" t="n"/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95" t="n"/>
      <c r="G35" s="96" t="n"/>
      <c r="H35" s="96" t="n"/>
      <c r="I35" s="96" t="n"/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95" t="n"/>
      <c r="G36" s="96" t="n"/>
      <c r="H36" s="96" t="n"/>
      <c r="I36" s="96" t="n"/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97" t="n"/>
      <c r="G37" s="98" t="n"/>
      <c r="H37" s="98" t="n"/>
      <c r="I37" s="99" t="n"/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97" t="n"/>
      <c r="G38" s="98" t="n"/>
      <c r="H38" s="98" t="n"/>
      <c r="I38" s="99" t="n"/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97" t="n"/>
      <c r="G39" s="98" t="n"/>
      <c r="H39" s="98" t="n"/>
      <c r="I39" s="99" t="n"/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97" t="n"/>
      <c r="G40" s="98" t="n"/>
      <c r="H40" s="98" t="n"/>
      <c r="I40" s="99" t="n"/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97" t="n"/>
      <c r="G41" s="98" t="n"/>
      <c r="H41" s="98" t="n"/>
      <c r="I41" s="99" t="n"/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95" t="n"/>
      <c r="G42" s="96" t="n"/>
      <c r="H42" s="96" t="n"/>
      <c r="I42" s="96" t="n"/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95" t="n"/>
      <c r="G43" s="96" t="n"/>
      <c r="H43" s="96" t="n"/>
      <c r="I43" s="96" t="n"/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100" t="n"/>
      <c r="G44" s="101" t="n"/>
      <c r="H44" s="101" t="n"/>
      <c r="I44" s="102" t="n"/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JUN!M54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n"/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49" operator="containsText" dxfId="25" stopIfTrue="1" text="F">
      <formula>NOT(ISERROR(SEARCH("F",A14)))</formula>
    </cfRule>
  </conditionalFormatting>
  <conditionalFormatting sqref="C14:E44">
    <cfRule type="cellIs" priority="47" operator="equal" dxfId="11" stopIfTrue="1">
      <formula>2</formula>
    </cfRule>
    <cfRule type="cellIs" priority="48" operator="equal" dxfId="11" stopIfTrue="1">
      <formula>8</formula>
    </cfRule>
  </conditionalFormatting>
  <conditionalFormatting sqref="L45">
    <cfRule type="cellIs" priority="42" operator="equal" dxfId="10" stopIfTrue="1">
      <formula>0</formula>
    </cfRule>
  </conditionalFormatting>
  <conditionalFormatting sqref="L14:M44">
    <cfRule type="cellIs" priority="44" operator="equal" dxfId="10" stopIfTrue="1">
      <formula>0</formula>
    </cfRule>
  </conditionalFormatting>
  <conditionalFormatting sqref="L14:N45">
    <cfRule type="cellIs" priority="43" operator="greaterThan" dxfId="10" stopIfTrue="1">
      <formula>0</formula>
    </cfRule>
    <cfRule type="cellIs" priority="45" operator="lessThan" dxfId="11" stopIfTrue="1">
      <formula>0</formula>
    </cfRule>
  </conditionalFormatting>
  <conditionalFormatting sqref="M47:N48">
    <cfRule type="cellIs" priority="38" operator="equal" dxfId="10" stopIfTrue="1">
      <formula>0</formula>
    </cfRule>
  </conditionalFormatting>
  <conditionalFormatting sqref="M47:N52 M53 M55 M57:N58 M59">
    <cfRule type="cellIs" priority="40" operator="greaterThan" dxfId="10" stopIfTrue="1">
      <formula>0</formula>
    </cfRule>
    <cfRule type="cellIs" priority="41" operator="lessThan" dxfId="11" stopIfTrue="1">
      <formula>0</formula>
    </cfRule>
  </conditionalFormatting>
  <conditionalFormatting sqref="M51:N52 M53 M55">
    <cfRule type="cellIs" priority="39" operator="equal" dxfId="14" stopIfTrue="1">
      <formula>0</formula>
    </cfRule>
  </conditionalFormatting>
  <conditionalFormatting sqref="M57:N58 M59">
    <cfRule type="cellIs" priority="35" operator="equal" dxfId="13" stopIfTrue="1">
      <formula>0</formula>
    </cfRule>
  </conditionalFormatting>
  <conditionalFormatting sqref="N14:N44">
    <cfRule type="cellIs" priority="46" operator="equal" dxfId="10" stopIfTrue="1">
      <formula>0</formula>
    </cfRule>
  </conditionalFormatting>
  <conditionalFormatting sqref="N14:N45">
    <cfRule type="cellIs" priority="50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selection activeCell="J21" sqref="J21"/>
    </sheetView>
  </sheetViews>
  <sheetFormatPr baseColWidth="8" defaultRowHeight="15"/>
  <cols>
    <col width="3.57031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43677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70" t="n">
        <v>0</v>
      </c>
      <c r="G14" s="371" t="n">
        <v>0</v>
      </c>
      <c r="H14" s="371" t="n">
        <v>0</v>
      </c>
      <c r="I14" s="372" t="n">
        <v>0</v>
      </c>
      <c r="J14" s="373" t="n"/>
      <c r="K14" s="328" t="n"/>
      <c r="L14" s="330" t="n">
        <v>0</v>
      </c>
      <c r="M14" s="330" t="n">
        <v>0.3333333333333333</v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370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 t="n">
        <v>0.3333333333333333</v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 t="n">
        <v>0.3333333333333333</v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70" t="n">
        <v>0</v>
      </c>
      <c r="G17" s="371" t="n">
        <v>0</v>
      </c>
      <c r="H17" s="371" t="n">
        <v>0</v>
      </c>
      <c r="I17" s="372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70" t="n">
        <v>0</v>
      </c>
      <c r="G18" s="371" t="n">
        <v>0</v>
      </c>
      <c r="H18" s="371" t="n">
        <v>0</v>
      </c>
      <c r="I18" s="372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70" t="n">
        <v>0</v>
      </c>
      <c r="G19" s="371" t="n">
        <v>0</v>
      </c>
      <c r="H19" s="371" t="n">
        <v>0</v>
      </c>
      <c r="I19" s="372" t="n">
        <v>0</v>
      </c>
      <c r="J19" s="375" t="n"/>
      <c r="K19" s="335" t="n"/>
      <c r="L19" s="329">
        <f>IF(A19="U",(G19-F19)+(I19-H19)+(K19-J19),"NÃO ÚTIL")</f>
        <v/>
      </c>
      <c r="M19" s="330" t="n">
        <v>0.3333333333333333</v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70" t="n">
        <v>0</v>
      </c>
      <c r="G20" s="371" t="n">
        <v>0</v>
      </c>
      <c r="H20" s="371" t="n">
        <v>0</v>
      </c>
      <c r="I20" s="372" t="n">
        <v>0</v>
      </c>
      <c r="J20" s="375" t="n"/>
      <c r="K20" s="335" t="n"/>
      <c r="L20" s="329">
        <f>IF(A20="U",(G20-F20)+(I20-H20)+(K20-J20),"NÃO ÚTIL")</f>
        <v/>
      </c>
      <c r="M20" s="330" t="n">
        <v>0.3333333333333333</v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70" t="n">
        <v>0</v>
      </c>
      <c r="G21" s="371" t="n">
        <v>0</v>
      </c>
      <c r="H21" s="371" t="n">
        <v>0</v>
      </c>
      <c r="I21" s="372" t="n">
        <v>0</v>
      </c>
      <c r="J21" s="377" t="n"/>
      <c r="K21" s="340" t="n"/>
      <c r="L21" s="329">
        <f>IF(A21="U",(G21-F21)+(I21-H21)+(K21-J21),"NÃO ÚTIL")</f>
        <v/>
      </c>
      <c r="M21" s="330" t="n">
        <v>0.3333333333333333</v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70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 t="n">
        <v>0.3333333333333333</v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70" t="n">
        <v>0</v>
      </c>
      <c r="G23" s="371" t="n">
        <v>0</v>
      </c>
      <c r="H23" s="371" t="n">
        <v>0</v>
      </c>
      <c r="I23" s="372" t="n">
        <v>0</v>
      </c>
      <c r="J23" s="375" t="n"/>
      <c r="K23" s="335" t="n"/>
      <c r="L23" s="329">
        <f>IF(A23="U",(G23-F23)+(I23-H23)+(K23-J23),"NÃO ÚTIL")</f>
        <v/>
      </c>
      <c r="M23" s="330" t="n">
        <v>0.3333333333333333</v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70" t="n">
        <v>0</v>
      </c>
      <c r="G24" s="378" t="n">
        <v>0</v>
      </c>
      <c r="H24" s="378" t="n">
        <v>0</v>
      </c>
      <c r="I24" s="379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70" t="n">
        <v>0</v>
      </c>
      <c r="G25" s="371" t="n">
        <v>0</v>
      </c>
      <c r="H25" s="371" t="n">
        <v>0</v>
      </c>
      <c r="I25" s="372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70" t="n">
        <v>0</v>
      </c>
      <c r="G26" s="371" t="n">
        <v>0</v>
      </c>
      <c r="H26" s="371" t="n">
        <v>0</v>
      </c>
      <c r="I26" s="372" t="n">
        <v>0</v>
      </c>
      <c r="J26" s="377" t="n"/>
      <c r="K26" s="340" t="n"/>
      <c r="L26" s="329">
        <f>IF(A26="U",(G26-F26)+(I26-H26)+(K26-J26),"NÃO ÚTIL")</f>
        <v/>
      </c>
      <c r="M26" s="330" t="n">
        <v>0.3333333333333333</v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70" t="n">
        <v>0</v>
      </c>
      <c r="G27" s="371" t="n">
        <v>0</v>
      </c>
      <c r="H27" s="371" t="n">
        <v>0</v>
      </c>
      <c r="I27" s="372" t="n">
        <v>0</v>
      </c>
      <c r="J27" s="376" t="n"/>
      <c r="K27" s="338" t="n"/>
      <c r="L27" s="329">
        <f>IF(A27="U",(G27-F27)+(I27-H27)+(K27-J27),"NÃO ÚTIL")</f>
        <v/>
      </c>
      <c r="M27" s="330" t="n">
        <v>0.3333333333333333</v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70" t="n">
        <v>0</v>
      </c>
      <c r="G28" s="371" t="n">
        <v>0</v>
      </c>
      <c r="H28" s="371" t="n">
        <v>0</v>
      </c>
      <c r="I28" s="372" t="n">
        <v>0</v>
      </c>
      <c r="J28" s="375" t="n"/>
      <c r="K28" s="335" t="n"/>
      <c r="L28" s="329">
        <f>IF(A28="U",(G28-F28)+(I28-H28)+(K28-J28),"NÃO ÚTIL")</f>
        <v/>
      </c>
      <c r="M28" s="330" t="n">
        <v>0.3333333333333333</v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70" t="n">
        <v>0</v>
      </c>
      <c r="G29" s="371" t="n">
        <v>0</v>
      </c>
      <c r="H29" s="371" t="n">
        <v>0</v>
      </c>
      <c r="I29" s="372" t="n">
        <v>0</v>
      </c>
      <c r="J29" s="377" t="n"/>
      <c r="K29" s="340" t="n"/>
      <c r="L29" s="329">
        <f>IF(A29="U",(G29-F29)+(I29-H29)+(K29-J29),"NÃO ÚTIL")</f>
        <v/>
      </c>
      <c r="M29" s="330" t="n">
        <v>0.3333333333333333</v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70" t="n">
        <v>0</v>
      </c>
      <c r="G30" s="371" t="n">
        <v>0</v>
      </c>
      <c r="H30" s="371" t="n">
        <v>0</v>
      </c>
      <c r="I30" s="372" t="n">
        <v>0</v>
      </c>
      <c r="J30" s="376" t="n"/>
      <c r="K30" s="338" t="n"/>
      <c r="L30" s="329">
        <f>IF(A30="U",(G30-F30)+(I30-H30)+(K30-J30),"NÃO ÚTIL")</f>
        <v/>
      </c>
      <c r="M30" s="330" t="n">
        <v>0.3333333333333333</v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70" t="n">
        <v>0</v>
      </c>
      <c r="G31" s="371" t="n">
        <v>0</v>
      </c>
      <c r="H31" s="371" t="n">
        <v>0</v>
      </c>
      <c r="I31" s="372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70" t="n">
        <v>0</v>
      </c>
      <c r="G32" s="371" t="n">
        <v>0</v>
      </c>
      <c r="H32" s="371" t="n">
        <v>0</v>
      </c>
      <c r="I32" s="372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70" t="n">
        <v>0</v>
      </c>
      <c r="G33" s="371" t="n">
        <v>0</v>
      </c>
      <c r="H33" s="371" t="n">
        <v>0</v>
      </c>
      <c r="I33" s="372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70" t="n">
        <v>0</v>
      </c>
      <c r="G34" s="371" t="n">
        <v>0</v>
      </c>
      <c r="H34" s="371" t="n">
        <v>0</v>
      </c>
      <c r="I34" s="372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70" t="n">
        <v>0</v>
      </c>
      <c r="G35" s="371" t="n">
        <v>0</v>
      </c>
      <c r="H35" s="371" t="n">
        <v>0</v>
      </c>
      <c r="I35" s="372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70" t="n">
        <v>0</v>
      </c>
      <c r="G36" s="371" t="n">
        <v>0</v>
      </c>
      <c r="H36" s="371" t="n">
        <v>0</v>
      </c>
      <c r="I36" s="372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70" t="n">
        <v>0</v>
      </c>
      <c r="G37" s="371" t="n">
        <v>0</v>
      </c>
      <c r="H37" s="371" t="n">
        <v>0</v>
      </c>
      <c r="I37" s="372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70" t="n">
        <v>0</v>
      </c>
      <c r="G38" s="371" t="n">
        <v>0</v>
      </c>
      <c r="H38" s="371" t="n">
        <v>0</v>
      </c>
      <c r="I38" s="372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70" t="n">
        <v>0</v>
      </c>
      <c r="G39" s="371" t="n">
        <v>0</v>
      </c>
      <c r="H39" s="371" t="n">
        <v>0</v>
      </c>
      <c r="I39" s="372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70" t="n">
        <v>0</v>
      </c>
      <c r="G40" s="371" t="n">
        <v>0</v>
      </c>
      <c r="H40" s="371" t="n">
        <v>0</v>
      </c>
      <c r="I40" s="372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70" t="n">
        <v>0</v>
      </c>
      <c r="G41" s="371" t="n">
        <v>0</v>
      </c>
      <c r="H41" s="371" t="n">
        <v>0</v>
      </c>
      <c r="I41" s="372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70" t="n">
        <v>0</v>
      </c>
      <c r="G42" s="371" t="n">
        <v>0</v>
      </c>
      <c r="H42" s="371" t="n">
        <v>0</v>
      </c>
      <c r="I42" s="372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70" t="n">
        <v>0</v>
      </c>
      <c r="G43" s="371" t="n">
        <v>0</v>
      </c>
      <c r="H43" s="371" t="n">
        <v>0</v>
      </c>
      <c r="I43" s="372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70" t="n">
        <v>0</v>
      </c>
      <c r="G44" s="371" t="n">
        <v>0</v>
      </c>
      <c r="H44" s="371" t="n">
        <v>0</v>
      </c>
      <c r="I44" s="372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SUM(L14:L43)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JUL!M55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5" customHeight="1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49" operator="containsText" dxfId="25" stopIfTrue="1" text="F">
      <formula>NOT(ISERROR(SEARCH("F",A14)))</formula>
    </cfRule>
  </conditionalFormatting>
  <conditionalFormatting sqref="C14:E44">
    <cfRule type="cellIs" priority="47" operator="equal" dxfId="11" stopIfTrue="1">
      <formula>2</formula>
    </cfRule>
    <cfRule type="cellIs" priority="48" operator="equal" dxfId="11" stopIfTrue="1">
      <formula>8</formula>
    </cfRule>
  </conditionalFormatting>
  <conditionalFormatting sqref="L45">
    <cfRule type="cellIs" priority="42" operator="equal" dxfId="10" stopIfTrue="1">
      <formula>0</formula>
    </cfRule>
  </conditionalFormatting>
  <conditionalFormatting sqref="L14:M44">
    <cfRule type="cellIs" priority="44" operator="equal" dxfId="10" stopIfTrue="1">
      <formula>0</formula>
    </cfRule>
  </conditionalFormatting>
  <conditionalFormatting sqref="L14:N45">
    <cfRule type="cellIs" priority="43" operator="greaterThan" dxfId="10" stopIfTrue="1">
      <formula>0</formula>
    </cfRule>
    <cfRule type="cellIs" priority="45" operator="lessThan" dxfId="11" stopIfTrue="1">
      <formula>0</formula>
    </cfRule>
  </conditionalFormatting>
  <conditionalFormatting sqref="M47:N48">
    <cfRule type="cellIs" priority="38" operator="equal" dxfId="10" stopIfTrue="1">
      <formula>0</formula>
    </cfRule>
  </conditionalFormatting>
  <conditionalFormatting sqref="M47:N52 M53 M55 M57:N58 M59">
    <cfRule type="cellIs" priority="40" operator="greaterThan" dxfId="10" stopIfTrue="1">
      <formula>0</formula>
    </cfRule>
    <cfRule type="cellIs" priority="41" operator="lessThan" dxfId="11" stopIfTrue="1">
      <formula>0</formula>
    </cfRule>
  </conditionalFormatting>
  <conditionalFormatting sqref="M51:N52 M53 M55">
    <cfRule type="cellIs" priority="39" operator="equal" dxfId="14" stopIfTrue="1">
      <formula>0</formula>
    </cfRule>
  </conditionalFormatting>
  <conditionalFormatting sqref="M57:N58 M59">
    <cfRule type="cellIs" priority="35" operator="equal" dxfId="13" stopIfTrue="1">
      <formula>0</formula>
    </cfRule>
  </conditionalFormatting>
  <conditionalFormatting sqref="N14:N44">
    <cfRule type="cellIs" priority="46" operator="equal" dxfId="10" stopIfTrue="1">
      <formula>0</formula>
    </cfRule>
  </conditionalFormatting>
  <conditionalFormatting sqref="N14:N45">
    <cfRule type="cellIs" priority="50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 horizontalDpi="0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C1" workbookViewId="0">
      <selection activeCell="H16" sqref="H16"/>
    </sheetView>
  </sheetViews>
  <sheetFormatPr baseColWidth="8" defaultRowHeight="15"/>
  <cols>
    <col width="3.1406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43708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 t="n">
        <v>531185</v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92">
        <f>WEEKDAY(B14)+1</f>
        <v/>
      </c>
      <c r="D14" s="305" t="n"/>
      <c r="E14" s="296" t="n"/>
      <c r="F14" s="404" t="n">
        <v>0</v>
      </c>
      <c r="G14" s="395" t="n">
        <v>0</v>
      </c>
      <c r="H14" s="395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405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6" t="n">
        <v>0</v>
      </c>
      <c r="G16" s="396" t="n">
        <v>0</v>
      </c>
      <c r="H16" s="396" t="n">
        <v>0</v>
      </c>
      <c r="I16" s="396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6" t="n">
        <v>0</v>
      </c>
      <c r="G17" s="396" t="n">
        <v>0</v>
      </c>
      <c r="H17" s="396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6" t="n">
        <v>0</v>
      </c>
      <c r="G18" s="396" t="n">
        <v>0</v>
      </c>
      <c r="H18" s="396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6" t="n">
        <v>0</v>
      </c>
      <c r="G19" s="396" t="n">
        <v>0</v>
      </c>
      <c r="H19" s="396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 t="inlineStr">
        <is>
          <t>F</t>
        </is>
      </c>
      <c r="B20" s="46">
        <f>B19+1</f>
        <v/>
      </c>
      <c r="C20" s="399">
        <f>WEEKDAY(B20)+1</f>
        <v/>
      </c>
      <c r="D20" s="305" t="n"/>
      <c r="E20" s="296" t="n"/>
      <c r="F20" s="396" t="n">
        <v>0</v>
      </c>
      <c r="G20" s="396" t="n">
        <v>0</v>
      </c>
      <c r="H20" s="396" t="n">
        <v>0</v>
      </c>
      <c r="I20" s="396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6" t="n">
        <v>0</v>
      </c>
      <c r="G21" s="396" t="n">
        <v>0</v>
      </c>
      <c r="H21" s="396" t="n">
        <v>0</v>
      </c>
      <c r="I21" s="396" t="n">
        <v>0</v>
      </c>
      <c r="J21" s="339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6" t="n">
        <v>0</v>
      </c>
      <c r="G22" s="396" t="n">
        <v>0</v>
      </c>
      <c r="H22" s="396" t="n">
        <v>0</v>
      </c>
      <c r="I22" s="396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6" t="n">
        <v>0</v>
      </c>
      <c r="G23" s="396" t="n">
        <v>0</v>
      </c>
      <c r="H23" s="396" t="n">
        <v>0</v>
      </c>
      <c r="I23" s="396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6" t="n">
        <v>0</v>
      </c>
      <c r="G24" s="396" t="n">
        <v>0</v>
      </c>
      <c r="H24" s="396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6" t="n">
        <v>0</v>
      </c>
      <c r="G25" s="396" t="n">
        <v>0</v>
      </c>
      <c r="H25" s="396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6" t="n">
        <v>0</v>
      </c>
      <c r="G26" s="396" t="n">
        <v>0</v>
      </c>
      <c r="H26" s="396" t="n">
        <v>0</v>
      </c>
      <c r="I26" s="396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6" t="n">
        <v>0</v>
      </c>
      <c r="G27" s="396" t="n">
        <v>0</v>
      </c>
      <c r="H27" s="396" t="n">
        <v>0</v>
      </c>
      <c r="I27" s="396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6" t="n">
        <v>0</v>
      </c>
      <c r="G28" s="396" t="n">
        <v>0</v>
      </c>
      <c r="H28" s="396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6" t="n">
        <v>0</v>
      </c>
      <c r="G29" s="396" t="n">
        <v>0</v>
      </c>
      <c r="H29" s="396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6" t="n">
        <v>0</v>
      </c>
      <c r="G30" s="396" t="n">
        <v>0</v>
      </c>
      <c r="H30" s="396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6" t="n">
        <v>0</v>
      </c>
      <c r="G31" s="396" t="n">
        <v>0</v>
      </c>
      <c r="H31" s="396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6" t="n">
        <v>0</v>
      </c>
      <c r="G32" s="396" t="n">
        <v>0</v>
      </c>
      <c r="H32" s="396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6" t="n">
        <v>0</v>
      </c>
      <c r="G33" s="396" t="n">
        <v>0</v>
      </c>
      <c r="H33" s="396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6" t="n">
        <v>0</v>
      </c>
      <c r="G34" s="396" t="n">
        <v>0</v>
      </c>
      <c r="H34" s="396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6" t="n">
        <v>0</v>
      </c>
      <c r="G35" s="396" t="n">
        <v>0</v>
      </c>
      <c r="H35" s="396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6" t="n">
        <v>0</v>
      </c>
      <c r="G36" s="396" t="n">
        <v>0</v>
      </c>
      <c r="H36" s="396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6" t="n">
        <v>0</v>
      </c>
      <c r="G37" s="396" t="n">
        <v>0</v>
      </c>
      <c r="H37" s="396" t="n">
        <v>0</v>
      </c>
      <c r="I37" s="39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6" t="n">
        <v>0</v>
      </c>
      <c r="G38" s="396" t="n">
        <v>0</v>
      </c>
      <c r="H38" s="396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6" t="n">
        <v>0</v>
      </c>
      <c r="G39" s="396" t="n">
        <v>0</v>
      </c>
      <c r="H39" s="396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6" t="n">
        <v>0</v>
      </c>
      <c r="G40" s="396" t="n">
        <v>0</v>
      </c>
      <c r="H40" s="396" t="n">
        <v>0</v>
      </c>
      <c r="I40" s="396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6" t="n">
        <v>0</v>
      </c>
      <c r="G41" s="396" t="n">
        <v>0</v>
      </c>
      <c r="H41" s="396" t="n">
        <v>0</v>
      </c>
      <c r="I41" s="396" t="n">
        <v>0</v>
      </c>
      <c r="J41" s="337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6" t="n">
        <v>0</v>
      </c>
      <c r="G42" s="396" t="n">
        <v>0</v>
      </c>
      <c r="H42" s="396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6" t="n">
        <v>0</v>
      </c>
      <c r="G43" s="396" t="n">
        <v>0</v>
      </c>
      <c r="H43" s="396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AGO!M55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5" customHeight="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I11:N11"/>
    <mergeCell ref="P12:Q12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69" operator="containsText" dxfId="25" stopIfTrue="1" text="F">
      <formula>NOT(ISERROR(SEARCH("F",A14)))</formula>
    </cfRule>
  </conditionalFormatting>
  <conditionalFormatting sqref="C14:E43">
    <cfRule type="cellIs" priority="67" operator="equal" dxfId="11" stopIfTrue="1">
      <formula>2</formula>
    </cfRule>
    <cfRule type="cellIs" priority="68" operator="equal" dxfId="11" stopIfTrue="1">
      <formula>8</formula>
    </cfRule>
  </conditionalFormatting>
  <conditionalFormatting sqref="L44">
    <cfRule type="cellIs" priority="62" operator="equal" dxfId="10" stopIfTrue="1">
      <formula>0</formula>
    </cfRule>
  </conditionalFormatting>
  <conditionalFormatting sqref="L14:M43">
    <cfRule type="cellIs" priority="64" operator="equal" dxfId="10" stopIfTrue="1">
      <formula>0</formula>
    </cfRule>
  </conditionalFormatting>
  <conditionalFormatting sqref="L14:N44">
    <cfRule type="cellIs" priority="63" operator="greaterThan" dxfId="10" stopIfTrue="1">
      <formula>0</formula>
    </cfRule>
    <cfRule type="cellIs" priority="65" operator="lessThan" dxfId="11" stopIfTrue="1">
      <formula>0</formula>
    </cfRule>
  </conditionalFormatting>
  <conditionalFormatting sqref="M46:N47">
    <cfRule type="cellIs" priority="58" operator="equal" dxfId="10" stopIfTrue="1">
      <formula>0</formula>
    </cfRule>
  </conditionalFormatting>
  <conditionalFormatting sqref="M46:N51 M52 M54 M56:N57 M58">
    <cfRule type="cellIs" priority="60" operator="greaterThan" dxfId="10" stopIfTrue="1">
      <formula>0</formula>
    </cfRule>
    <cfRule type="cellIs" priority="61" operator="lessThan" dxfId="11" stopIfTrue="1">
      <formula>0</formula>
    </cfRule>
  </conditionalFormatting>
  <conditionalFormatting sqref="M50:N51 M52 M54">
    <cfRule type="cellIs" priority="59" operator="equal" dxfId="14" stopIfTrue="1">
      <formula>0</formula>
    </cfRule>
  </conditionalFormatting>
  <conditionalFormatting sqref="M56:N57 M58">
    <cfRule type="cellIs" priority="55" operator="equal" dxfId="13" stopIfTrue="1">
      <formula>0</formula>
    </cfRule>
  </conditionalFormatting>
  <conditionalFormatting sqref="N14:N43">
    <cfRule type="cellIs" priority="66" operator="equal" dxfId="10" stopIfTrue="1">
      <formula>0</formula>
    </cfRule>
  </conditionalFormatting>
  <conditionalFormatting sqref="N14:N44">
    <cfRule type="cellIs" priority="70" operator="equal" dxfId="4" stopIfTrue="1">
      <formula>0</formula>
    </cfRule>
  </conditionalFormatting>
  <pageMargins left="0.1181102362204725" right="0.1181102362204725" top="0.5905511811023623" bottom="0.7874015748031497" header="0.3149606299212598" footer="0.3149606299212598"/>
  <pageSetup orientation="portrait" paperSize="9" scale="8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4" workbookViewId="0">
      <selection activeCell="I16" sqref="I16"/>
    </sheetView>
  </sheetViews>
  <sheetFormatPr baseColWidth="8" defaultRowHeight="15"/>
  <cols>
    <col width="3.710937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43738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96" t="n">
        <v>0</v>
      </c>
      <c r="G14" s="396" t="n">
        <v>0</v>
      </c>
      <c r="H14" s="396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396" t="n">
        <v>0</v>
      </c>
      <c r="G15" s="396" t="n">
        <v>0</v>
      </c>
      <c r="H15" s="396" t="n">
        <v>0</v>
      </c>
      <c r="I15" s="396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6" t="n">
        <v>0</v>
      </c>
      <c r="G16" s="396" t="n">
        <v>0</v>
      </c>
      <c r="H16" s="396" t="n">
        <v>0</v>
      </c>
      <c r="I16" s="396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6" t="n">
        <v>0</v>
      </c>
      <c r="G17" s="396" t="n">
        <v>0</v>
      </c>
      <c r="H17" s="396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6" t="n">
        <v>0</v>
      </c>
      <c r="G18" s="396" t="n">
        <v>0</v>
      </c>
      <c r="H18" s="396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6" t="n">
        <v>0</v>
      </c>
      <c r="G19" s="396" t="n">
        <v>0</v>
      </c>
      <c r="H19" s="396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6" t="n">
        <v>0</v>
      </c>
      <c r="G20" s="396" t="n">
        <v>0</v>
      </c>
      <c r="H20" s="396" t="n">
        <v>0</v>
      </c>
      <c r="I20" s="396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6" t="n">
        <v>0</v>
      </c>
      <c r="G21" s="396" t="n">
        <v>0</v>
      </c>
      <c r="H21" s="396" t="n">
        <v>0</v>
      </c>
      <c r="I21" s="396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6" t="n">
        <v>0</v>
      </c>
      <c r="G22" s="396" t="n">
        <v>0</v>
      </c>
      <c r="H22" s="396" t="n">
        <v>0</v>
      </c>
      <c r="I22" s="396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6" t="n">
        <v>0</v>
      </c>
      <c r="G23" s="396" t="n">
        <v>0</v>
      </c>
      <c r="H23" s="396" t="n">
        <v>0</v>
      </c>
      <c r="I23" s="396" t="n">
        <v>0</v>
      </c>
      <c r="J23" s="376" t="n"/>
      <c r="K23" s="338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6" t="n">
        <v>0</v>
      </c>
      <c r="G24" s="396" t="n">
        <v>0</v>
      </c>
      <c r="H24" s="396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 t="inlineStr">
        <is>
          <t>F</t>
        </is>
      </c>
      <c r="B25" s="46">
        <f>B24+1</f>
        <v/>
      </c>
      <c r="C25" s="399">
        <f>WEEKDAY(B25)+1</f>
        <v/>
      </c>
      <c r="D25" s="305" t="n"/>
      <c r="E25" s="296" t="n"/>
      <c r="F25" s="396" t="n">
        <v>0</v>
      </c>
      <c r="G25" s="396" t="n">
        <v>0</v>
      </c>
      <c r="H25" s="396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6" t="n">
        <v>0</v>
      </c>
      <c r="G26" s="396" t="n">
        <v>0</v>
      </c>
      <c r="H26" s="396" t="n">
        <v>0</v>
      </c>
      <c r="I26" s="396" t="n">
        <v>0</v>
      </c>
      <c r="J26" s="339" t="n"/>
      <c r="K26" s="340" t="n"/>
      <c r="L26" s="329">
        <f>IF(A26="U",(G26-F26)+(I26-H26)+(K26-J26),"NÃO ÚTIL")</f>
        <v/>
      </c>
      <c r="M26" s="406" t="n">
        <v>0</v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6" t="n">
        <v>0</v>
      </c>
      <c r="G27" s="396" t="n">
        <v>0</v>
      </c>
      <c r="H27" s="396" t="n">
        <v>0</v>
      </c>
      <c r="I27" s="396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6" t="n">
        <v>0</v>
      </c>
      <c r="G28" s="396" t="n">
        <v>0</v>
      </c>
      <c r="H28" s="396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6" t="n">
        <v>0</v>
      </c>
      <c r="G29" s="396" t="n">
        <v>0</v>
      </c>
      <c r="H29" s="396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6" t="n">
        <v>0</v>
      </c>
      <c r="G30" s="396" t="n">
        <v>0</v>
      </c>
      <c r="H30" s="396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6" t="n">
        <v>0</v>
      </c>
      <c r="G31" s="396" t="n">
        <v>0</v>
      </c>
      <c r="H31" s="396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6" t="n">
        <v>0</v>
      </c>
      <c r="G32" s="396" t="n">
        <v>0</v>
      </c>
      <c r="H32" s="396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6" t="n">
        <v>0</v>
      </c>
      <c r="G33" s="396" t="n">
        <v>0</v>
      </c>
      <c r="H33" s="396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6" t="n">
        <v>0</v>
      </c>
      <c r="G34" s="396" t="n">
        <v>0</v>
      </c>
      <c r="H34" s="396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6" t="n">
        <v>0</v>
      </c>
      <c r="G35" s="396" t="n">
        <v>0</v>
      </c>
      <c r="H35" s="396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6" t="n">
        <v>0</v>
      </c>
      <c r="G36" s="396" t="n">
        <v>0</v>
      </c>
      <c r="H36" s="396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6" t="n">
        <v>0</v>
      </c>
      <c r="G37" s="396" t="n">
        <v>0</v>
      </c>
      <c r="H37" s="396" t="n">
        <v>0</v>
      </c>
      <c r="I37" s="39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6" t="n">
        <v>0</v>
      </c>
      <c r="G38" s="396" t="n">
        <v>0</v>
      </c>
      <c r="H38" s="396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6" t="n">
        <v>0</v>
      </c>
      <c r="G39" s="396" t="n">
        <v>0</v>
      </c>
      <c r="H39" s="396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6" t="n">
        <v>0</v>
      </c>
      <c r="G40" s="396" t="n">
        <v>0</v>
      </c>
      <c r="H40" s="396" t="n">
        <v>0</v>
      </c>
      <c r="I40" s="396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6" t="n">
        <v>0</v>
      </c>
      <c r="G41" s="396" t="n">
        <v>0</v>
      </c>
      <c r="H41" s="396" t="n">
        <v>0</v>
      </c>
      <c r="I41" s="396" t="n">
        <v>0</v>
      </c>
      <c r="J41" s="407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6" t="n">
        <v>0</v>
      </c>
      <c r="G42" s="396" t="n">
        <v>0</v>
      </c>
      <c r="H42" s="396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6" t="n">
        <v>0</v>
      </c>
      <c r="G43" s="396" t="n">
        <v>0</v>
      </c>
      <c r="H43" s="396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96" t="n">
        <v>0</v>
      </c>
      <c r="G44" s="396" t="n">
        <v>0</v>
      </c>
      <c r="H44" s="396" t="n">
        <v>0</v>
      </c>
      <c r="I44" s="396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SET!M54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76" operator="containsText" dxfId="25" stopIfTrue="1" text="F">
      <formula>NOT(ISERROR(SEARCH("F",A14)))</formula>
    </cfRule>
  </conditionalFormatting>
  <conditionalFormatting sqref="C14:E44">
    <cfRule type="cellIs" priority="74" operator="equal" dxfId="11" stopIfTrue="1">
      <formula>2</formula>
    </cfRule>
    <cfRule type="cellIs" priority="75" operator="equal" dxfId="11" stopIfTrue="1">
      <formula>8</formula>
    </cfRule>
  </conditionalFormatting>
  <conditionalFormatting sqref="L45">
    <cfRule type="cellIs" priority="69" operator="equal" dxfId="10" stopIfTrue="1">
      <formula>0</formula>
    </cfRule>
  </conditionalFormatting>
  <conditionalFormatting sqref="L14:M44">
    <cfRule type="cellIs" priority="71" operator="equal" dxfId="10" stopIfTrue="1">
      <formula>0</formula>
    </cfRule>
  </conditionalFormatting>
  <conditionalFormatting sqref="L14:N45">
    <cfRule type="cellIs" priority="70" operator="greaterThan" dxfId="10" stopIfTrue="1">
      <formula>0</formula>
    </cfRule>
    <cfRule type="cellIs" priority="72" operator="lessThan" dxfId="11" stopIfTrue="1">
      <formula>0</formula>
    </cfRule>
  </conditionalFormatting>
  <conditionalFormatting sqref="M47:N48">
    <cfRule type="cellIs" priority="65" operator="equal" dxfId="10" stopIfTrue="1">
      <formula>0</formula>
    </cfRule>
  </conditionalFormatting>
  <conditionalFormatting sqref="M47:N52 M53 M55 M57:N58 M59">
    <cfRule type="cellIs" priority="67" operator="greaterThan" dxfId="10" stopIfTrue="1">
      <formula>0</formula>
    </cfRule>
    <cfRule type="cellIs" priority="68" operator="lessThan" dxfId="11" stopIfTrue="1">
      <formula>0</formula>
    </cfRule>
  </conditionalFormatting>
  <conditionalFormatting sqref="M51:N52 M53 M55">
    <cfRule type="cellIs" priority="66" operator="equal" dxfId="14" stopIfTrue="1">
      <formula>0</formula>
    </cfRule>
  </conditionalFormatting>
  <conditionalFormatting sqref="M57:N58 M59">
    <cfRule type="cellIs" priority="62" operator="equal" dxfId="13" stopIfTrue="1">
      <formula>0</formula>
    </cfRule>
  </conditionalFormatting>
  <conditionalFormatting sqref="N14:N44">
    <cfRule type="cellIs" priority="73" operator="equal" dxfId="10" stopIfTrue="1">
      <formula>0</formula>
    </cfRule>
  </conditionalFormatting>
  <conditionalFormatting sqref="N14:N45">
    <cfRule type="cellIs" priority="77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2"/>
  <sheetViews>
    <sheetView showGridLines="0" workbookViewId="0">
      <selection activeCell="I18" sqref="I18"/>
    </sheetView>
  </sheetViews>
  <sheetFormatPr baseColWidth="8" defaultRowHeight="15"/>
  <cols>
    <col width="3.1406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43769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401" t="n">
        <v>0</v>
      </c>
      <c r="G14" s="371" t="n">
        <v>0</v>
      </c>
      <c r="H14" s="371" t="n">
        <v>0</v>
      </c>
      <c r="I14" s="372" t="n">
        <v>0</v>
      </c>
      <c r="J14" s="373" t="n"/>
      <c r="K14" s="328" t="n"/>
      <c r="L14" s="329">
        <f>IF(A14="U",(G14-F14)+(I14-H14)+(K14-J14),"NÃO ÚTIL")</f>
        <v/>
      </c>
      <c r="M14" s="330" t="n">
        <v>0</v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9">
        <f>WEEKDAY(B15)+1</f>
        <v/>
      </c>
      <c r="D15" s="305" t="n"/>
      <c r="E15" s="296" t="n"/>
      <c r="F15" s="401" t="n">
        <v>0</v>
      </c>
      <c r="G15" s="371" t="n">
        <v>0</v>
      </c>
      <c r="H15" s="371" t="n">
        <v>0</v>
      </c>
      <c r="I15" s="372" t="n">
        <v>0</v>
      </c>
      <c r="J15" s="408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70" t="n">
        <v>0</v>
      </c>
      <c r="G17" s="371" t="n">
        <v>0</v>
      </c>
      <c r="H17" s="371" t="n">
        <v>0</v>
      </c>
      <c r="I17" s="372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401" t="n">
        <v>0</v>
      </c>
      <c r="G18" s="371" t="n">
        <v>0</v>
      </c>
      <c r="H18" s="371" t="n">
        <v>0</v>
      </c>
      <c r="I18" s="372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401" t="n">
        <v>0</v>
      </c>
      <c r="G19" s="371" t="n">
        <v>0</v>
      </c>
      <c r="H19" s="371" t="n">
        <v>0</v>
      </c>
      <c r="I19" s="372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401" t="n">
        <v>0</v>
      </c>
      <c r="G20" s="371" t="n">
        <v>0</v>
      </c>
      <c r="H20" s="371" t="n">
        <v>0</v>
      </c>
      <c r="I20" s="372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401" t="n">
        <v>0</v>
      </c>
      <c r="G21" s="371" t="n">
        <v>0</v>
      </c>
      <c r="H21" s="371" t="n">
        <v>0</v>
      </c>
      <c r="I21" s="372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401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401" t="n">
        <v>0</v>
      </c>
      <c r="G23" s="371" t="n">
        <v>0</v>
      </c>
      <c r="H23" s="371" t="n">
        <v>0</v>
      </c>
      <c r="I23" s="372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401" t="n">
        <v>0</v>
      </c>
      <c r="G24" s="371" t="n">
        <v>0</v>
      </c>
      <c r="H24" s="371" t="n">
        <v>0</v>
      </c>
      <c r="I24" s="372" t="n">
        <v>0</v>
      </c>
      <c r="J24" s="409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401" t="n">
        <v>0</v>
      </c>
      <c r="G25" s="371" t="n">
        <v>0</v>
      </c>
      <c r="H25" s="371" t="n">
        <v>0</v>
      </c>
      <c r="I25" s="372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401" t="n">
        <v>0</v>
      </c>
      <c r="G26" s="371" t="n">
        <v>0</v>
      </c>
      <c r="H26" s="371" t="n">
        <v>0</v>
      </c>
      <c r="I26" s="372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 t="inlineStr">
        <is>
          <t>F</t>
        </is>
      </c>
      <c r="B27" s="46">
        <f>B26+1</f>
        <v/>
      </c>
      <c r="C27" s="392">
        <f>WEEKDAY(B27)+1</f>
        <v/>
      </c>
      <c r="D27" s="305" t="n"/>
      <c r="E27" s="296" t="n"/>
      <c r="F27" s="401" t="n">
        <v>0</v>
      </c>
      <c r="G27" s="371" t="n">
        <v>0</v>
      </c>
      <c r="H27" s="371" t="n">
        <v>0</v>
      </c>
      <c r="I27" s="372" t="n">
        <v>0</v>
      </c>
      <c r="J27" s="410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 t="inlineStr">
        <is>
          <t>F</t>
        </is>
      </c>
      <c r="B28" s="46">
        <f>B27+1</f>
        <v/>
      </c>
      <c r="C28" s="399">
        <f>WEEKDAY(B28)+1</f>
        <v/>
      </c>
      <c r="D28" s="305" t="n"/>
      <c r="E28" s="296" t="n"/>
      <c r="F28" s="401" t="n">
        <v>0</v>
      </c>
      <c r="G28" s="371" t="n">
        <v>0</v>
      </c>
      <c r="H28" s="371" t="n">
        <v>0</v>
      </c>
      <c r="I28" s="372" t="n">
        <v>0</v>
      </c>
      <c r="J28" s="411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401" t="n">
        <v>0</v>
      </c>
      <c r="G29" s="371" t="n">
        <v>0</v>
      </c>
      <c r="H29" s="371" t="n">
        <v>0</v>
      </c>
      <c r="I29" s="372" t="n">
        <v>0</v>
      </c>
      <c r="J29" s="412" t="n"/>
      <c r="K29" s="340" t="n"/>
      <c r="L29" s="329" t="n">
        <v>0.3333333333333333</v>
      </c>
      <c r="M29" s="330">
        <f>IF(A29="U",L7,"NÃO ÚTIL")</f>
        <v/>
      </c>
      <c r="N29" s="331" t="n">
        <v>0</v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401" t="n">
        <v>0</v>
      </c>
      <c r="G30" s="371" t="n">
        <v>0</v>
      </c>
      <c r="H30" s="371" t="n">
        <v>0</v>
      </c>
      <c r="I30" s="372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401" t="n">
        <v>0</v>
      </c>
      <c r="G31" s="371" t="n">
        <v>0</v>
      </c>
      <c r="H31" s="371" t="n">
        <v>0</v>
      </c>
      <c r="I31" s="372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401" t="n">
        <v>0</v>
      </c>
      <c r="G32" s="371" t="n">
        <v>0</v>
      </c>
      <c r="H32" s="371" t="n">
        <v>0</v>
      </c>
      <c r="I32" s="372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401" t="n">
        <v>0</v>
      </c>
      <c r="G33" s="371" t="n">
        <v>0</v>
      </c>
      <c r="H33" s="371" t="n">
        <v>0</v>
      </c>
      <c r="I33" s="372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401" t="n">
        <v>0</v>
      </c>
      <c r="G34" s="371" t="n">
        <v>0</v>
      </c>
      <c r="H34" s="371" t="n">
        <v>0</v>
      </c>
      <c r="I34" s="372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401" t="n">
        <v>0</v>
      </c>
      <c r="G35" s="371" t="n">
        <v>0</v>
      </c>
      <c r="H35" s="371" t="n">
        <v>0</v>
      </c>
      <c r="I35" s="372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401" t="n">
        <v>0</v>
      </c>
      <c r="G36" s="371" t="n">
        <v>0</v>
      </c>
      <c r="H36" s="371" t="n">
        <v>0</v>
      </c>
      <c r="I36" s="372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401" t="n">
        <v>0</v>
      </c>
      <c r="G37" s="371" t="n">
        <v>0</v>
      </c>
      <c r="H37" s="371" t="n">
        <v>0</v>
      </c>
      <c r="I37" s="372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401" t="n">
        <v>0</v>
      </c>
      <c r="G38" s="371" t="n">
        <v>0</v>
      </c>
      <c r="H38" s="371" t="n">
        <v>0</v>
      </c>
      <c r="I38" s="372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401" t="n">
        <v>0</v>
      </c>
      <c r="G39" s="371" t="n">
        <v>0</v>
      </c>
      <c r="H39" s="371" t="n">
        <v>0</v>
      </c>
      <c r="I39" s="372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401" t="n">
        <v>0</v>
      </c>
      <c r="G40" s="371" t="n">
        <v>0</v>
      </c>
      <c r="H40" s="371" t="n">
        <v>0</v>
      </c>
      <c r="I40" s="372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401" t="n">
        <v>0</v>
      </c>
      <c r="G41" s="371" t="n">
        <v>0</v>
      </c>
      <c r="H41" s="371" t="n">
        <v>0</v>
      </c>
      <c r="I41" s="372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401" t="n">
        <v>0</v>
      </c>
      <c r="G42" s="371" t="n">
        <v>0</v>
      </c>
      <c r="H42" s="371" t="n">
        <v>0</v>
      </c>
      <c r="I42" s="372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401" t="n">
        <v>0</v>
      </c>
      <c r="G43" s="371" t="n">
        <v>0</v>
      </c>
      <c r="H43" s="371" t="n">
        <v>0</v>
      </c>
      <c r="I43" s="372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OUT!M55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5" customHeight="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P12:Q12"/>
    <mergeCell ref="I11:N11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40" operator="containsText" dxfId="25" stopIfTrue="1" text="F">
      <formula>NOT(ISERROR(SEARCH("F",A14)))</formula>
    </cfRule>
  </conditionalFormatting>
  <conditionalFormatting sqref="C14:E43">
    <cfRule type="cellIs" priority="38" operator="equal" dxfId="11" stopIfTrue="1">
      <formula>2</formula>
    </cfRule>
    <cfRule type="cellIs" priority="39" operator="equal" dxfId="11" stopIfTrue="1">
      <formula>8</formula>
    </cfRule>
  </conditionalFormatting>
  <conditionalFormatting sqref="L44">
    <cfRule type="cellIs" priority="33" operator="equal" dxfId="10" stopIfTrue="1">
      <formula>0</formula>
    </cfRule>
  </conditionalFormatting>
  <conditionalFormatting sqref="L14:M43">
    <cfRule type="cellIs" priority="35" operator="equal" dxfId="10" stopIfTrue="1">
      <formula>0</formula>
    </cfRule>
  </conditionalFormatting>
  <conditionalFormatting sqref="L14:N44">
    <cfRule type="cellIs" priority="34" operator="greaterThan" dxfId="10" stopIfTrue="1">
      <formula>0</formula>
    </cfRule>
    <cfRule type="cellIs" priority="36" operator="lessThan" dxfId="11" stopIfTrue="1">
      <formula>0</formula>
    </cfRule>
  </conditionalFormatting>
  <conditionalFormatting sqref="M46:N47">
    <cfRule type="cellIs" priority="29" operator="equal" dxfId="10" stopIfTrue="1">
      <formula>0</formula>
    </cfRule>
  </conditionalFormatting>
  <conditionalFormatting sqref="M46:N51 M52 M54 M56:N57 M58">
    <cfRule type="cellIs" priority="31" operator="greaterThan" dxfId="10" stopIfTrue="1">
      <formula>0</formula>
    </cfRule>
    <cfRule type="cellIs" priority="32" operator="lessThan" dxfId="11" stopIfTrue="1">
      <formula>0</formula>
    </cfRule>
  </conditionalFormatting>
  <conditionalFormatting sqref="M50:N51 M52 M54">
    <cfRule type="cellIs" priority="30" operator="equal" dxfId="14" stopIfTrue="1">
      <formula>0</formula>
    </cfRule>
  </conditionalFormatting>
  <conditionalFormatting sqref="M56:N57 M58">
    <cfRule type="cellIs" priority="26" operator="equal" dxfId="13" stopIfTrue="1">
      <formula>0</formula>
    </cfRule>
  </conditionalFormatting>
  <conditionalFormatting sqref="N14:N43">
    <cfRule type="cellIs" priority="37" operator="equal" dxfId="10" stopIfTrue="1">
      <formula>0</formula>
    </cfRule>
  </conditionalFormatting>
  <conditionalFormatting sqref="N14:N44">
    <cfRule type="cellIs" priority="41" operator="equal" dxfId="4" stopIfTrue="1">
      <formula>0</formula>
    </cfRule>
  </conditionalFormatting>
  <pageMargins left="0.1181102362204725" right="0.1181102362204725" top="0.5905511811023623" bottom="0.7874015748031497" header="0.3149606299212598" footer="0.3149606299212598"/>
  <pageSetup orientation="portrait" paperSize="9" scale="8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3"/>
  <sheetViews>
    <sheetView topLeftCell="A37" workbookViewId="0">
      <selection activeCell="I17" sqref="I17"/>
    </sheetView>
  </sheetViews>
  <sheetFormatPr baseColWidth="8" defaultRowHeight="15"/>
  <cols>
    <col width="4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43799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5" t="n">
        <v>0</v>
      </c>
      <c r="H14" s="395" t="n">
        <v>0</v>
      </c>
      <c r="I14" s="396" t="n">
        <v>0</v>
      </c>
      <c r="J14" s="395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401" t="n">
        <v>0</v>
      </c>
      <c r="G15" s="371" t="n">
        <v>0</v>
      </c>
      <c r="H15" s="371" t="n">
        <v>0</v>
      </c>
      <c r="I15" s="372" t="n">
        <v>0</v>
      </c>
      <c r="J15" s="371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413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70" t="n">
        <v>0</v>
      </c>
      <c r="G17" s="371" t="n">
        <v>0</v>
      </c>
      <c r="H17" s="371" t="n">
        <v>0</v>
      </c>
      <c r="I17" s="372" t="n">
        <v>0</v>
      </c>
      <c r="J17" s="414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70" t="n">
        <v>0</v>
      </c>
      <c r="G18" s="371" t="n">
        <v>0</v>
      </c>
      <c r="H18" s="371" t="n">
        <v>0</v>
      </c>
      <c r="I18" s="372" t="n">
        <v>0</v>
      </c>
      <c r="J18" s="413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70" t="n">
        <v>0</v>
      </c>
      <c r="G19" s="371" t="n">
        <v>0</v>
      </c>
      <c r="H19" s="371" t="n">
        <v>0</v>
      </c>
      <c r="I19" s="372" t="n">
        <v>0</v>
      </c>
      <c r="J19" s="371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70" t="n">
        <v>0</v>
      </c>
      <c r="G20" s="371" t="n">
        <v>0</v>
      </c>
      <c r="H20" s="371" t="n">
        <v>0</v>
      </c>
      <c r="I20" s="372" t="n">
        <v>0</v>
      </c>
      <c r="J20" s="371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70" t="n">
        <v>0</v>
      </c>
      <c r="G21" s="371" t="n">
        <v>0</v>
      </c>
      <c r="H21" s="371" t="n">
        <v>0</v>
      </c>
      <c r="I21" s="372" t="n">
        <v>0</v>
      </c>
      <c r="J21" s="414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70" t="n">
        <v>0</v>
      </c>
      <c r="G22" s="371" t="n">
        <v>0</v>
      </c>
      <c r="H22" s="371" t="n">
        <v>0</v>
      </c>
      <c r="I22" s="372" t="n">
        <v>0</v>
      </c>
      <c r="J22" s="413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70" t="n">
        <v>0</v>
      </c>
      <c r="G23" s="371" t="n">
        <v>0</v>
      </c>
      <c r="H23" s="371" t="n">
        <v>0</v>
      </c>
      <c r="I23" s="372" t="n">
        <v>0</v>
      </c>
      <c r="J23" s="371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70" t="n">
        <v>0</v>
      </c>
      <c r="G24" s="378" t="n">
        <v>0</v>
      </c>
      <c r="H24" s="378" t="n">
        <v>0</v>
      </c>
      <c r="I24" s="379" t="n">
        <v>0</v>
      </c>
      <c r="J24" s="413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70" t="n">
        <v>0</v>
      </c>
      <c r="G25" s="371" t="n">
        <v>0</v>
      </c>
      <c r="H25" s="371" t="n">
        <v>0</v>
      </c>
      <c r="I25" s="372" t="n">
        <v>0</v>
      </c>
      <c r="J25" s="371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70" t="n">
        <v>0</v>
      </c>
      <c r="G26" s="371" t="n">
        <v>0</v>
      </c>
      <c r="H26" s="371" t="n">
        <v>0</v>
      </c>
      <c r="I26" s="372" t="n">
        <v>0</v>
      </c>
      <c r="J26" s="414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70" t="n">
        <v>0</v>
      </c>
      <c r="G27" s="371" t="n">
        <v>0</v>
      </c>
      <c r="H27" s="371" t="n">
        <v>0</v>
      </c>
      <c r="I27" s="372" t="n">
        <v>0</v>
      </c>
      <c r="J27" s="413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70" t="n">
        <v>0</v>
      </c>
      <c r="G28" s="371" t="n">
        <v>0</v>
      </c>
      <c r="H28" s="371" t="n">
        <v>0</v>
      </c>
      <c r="I28" s="372" t="n">
        <v>0</v>
      </c>
      <c r="J28" s="371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70" t="n">
        <v>0</v>
      </c>
      <c r="G29" s="371" t="n">
        <v>0</v>
      </c>
      <c r="H29" s="371" t="n">
        <v>0</v>
      </c>
      <c r="I29" s="372" t="n">
        <v>0</v>
      </c>
      <c r="J29" s="414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70" t="n">
        <v>0</v>
      </c>
      <c r="G30" s="371" t="n">
        <v>0</v>
      </c>
      <c r="H30" s="371" t="n">
        <v>0</v>
      </c>
      <c r="I30" s="372" t="n">
        <v>0</v>
      </c>
      <c r="J30" s="413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70" t="n">
        <v>0</v>
      </c>
      <c r="G31" s="371" t="n">
        <v>0</v>
      </c>
      <c r="H31" s="371" t="n">
        <v>0</v>
      </c>
      <c r="I31" s="372" t="n">
        <v>0</v>
      </c>
      <c r="J31" s="414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70" t="n">
        <v>0</v>
      </c>
      <c r="G32" s="371" t="n">
        <v>0</v>
      </c>
      <c r="H32" s="371" t="n">
        <v>0</v>
      </c>
      <c r="I32" s="372" t="n">
        <v>0</v>
      </c>
      <c r="J32" s="415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70" t="n">
        <v>0</v>
      </c>
      <c r="G33" s="371" t="n">
        <v>0</v>
      </c>
      <c r="H33" s="371" t="n">
        <v>0</v>
      </c>
      <c r="I33" s="372" t="n">
        <v>0</v>
      </c>
      <c r="J33" s="416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70" t="n">
        <v>0</v>
      </c>
      <c r="G34" s="371" t="n">
        <v>0</v>
      </c>
      <c r="H34" s="371" t="n">
        <v>0</v>
      </c>
      <c r="I34" s="372" t="n">
        <v>0</v>
      </c>
      <c r="J34" s="415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70" t="n">
        <v>0</v>
      </c>
      <c r="G35" s="371" t="n">
        <v>0</v>
      </c>
      <c r="H35" s="371" t="n">
        <v>0</v>
      </c>
      <c r="I35" s="372" t="n">
        <v>0</v>
      </c>
      <c r="J35" s="415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70" t="n">
        <v>0</v>
      </c>
      <c r="G36" s="371" t="n">
        <v>0</v>
      </c>
      <c r="H36" s="371" t="n">
        <v>0</v>
      </c>
      <c r="I36" s="372" t="n">
        <v>0</v>
      </c>
      <c r="J36" s="417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70" t="n">
        <v>0</v>
      </c>
      <c r="G37" s="371" t="n">
        <v>0</v>
      </c>
      <c r="H37" s="371" t="n">
        <v>0</v>
      </c>
      <c r="I37" s="372" t="n">
        <v>0</v>
      </c>
      <c r="J37" s="415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 t="inlineStr">
        <is>
          <t>F</t>
        </is>
      </c>
      <c r="B38" s="46">
        <f>B37+1</f>
        <v/>
      </c>
      <c r="C38" s="399">
        <f>WEEKDAY(B38)+1</f>
        <v/>
      </c>
      <c r="D38" s="305" t="n"/>
      <c r="E38" s="296" t="n"/>
      <c r="F38" s="370" t="n">
        <v>0</v>
      </c>
      <c r="G38" s="371" t="n">
        <v>0</v>
      </c>
      <c r="H38" s="371" t="n">
        <v>0</v>
      </c>
      <c r="I38" s="372" t="n">
        <v>0</v>
      </c>
      <c r="J38" s="416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70" t="n">
        <v>0</v>
      </c>
      <c r="G39" s="371" t="n">
        <v>0</v>
      </c>
      <c r="H39" s="371" t="n">
        <v>0</v>
      </c>
      <c r="I39" s="372" t="n">
        <v>0</v>
      </c>
      <c r="J39" s="418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70" t="n">
        <v>0</v>
      </c>
      <c r="G40" s="371" t="n">
        <v>0</v>
      </c>
      <c r="H40" s="371" t="n">
        <v>0</v>
      </c>
      <c r="I40" s="372" t="n">
        <v>0</v>
      </c>
      <c r="J40" s="414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70" t="n">
        <v>0</v>
      </c>
      <c r="G41" s="371" t="n">
        <v>0</v>
      </c>
      <c r="H41" s="371" t="n">
        <v>0</v>
      </c>
      <c r="I41" s="372" t="n">
        <v>0</v>
      </c>
      <c r="J41" s="419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70" t="n">
        <v>0</v>
      </c>
      <c r="G42" s="371" t="n">
        <v>0</v>
      </c>
      <c r="H42" s="371" t="n">
        <v>0</v>
      </c>
      <c r="I42" s="372" t="n">
        <v>0</v>
      </c>
      <c r="J42" s="419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70" t="n">
        <v>0</v>
      </c>
      <c r="G43" s="371" t="n">
        <v>0</v>
      </c>
      <c r="H43" s="371" t="n">
        <v>0</v>
      </c>
      <c r="I43" s="372" t="n">
        <v>0</v>
      </c>
      <c r="J43" s="419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70" t="n">
        <v>0</v>
      </c>
      <c r="G44" s="371" t="n">
        <v>0</v>
      </c>
      <c r="H44" s="371" t="n">
        <v>0</v>
      </c>
      <c r="I44" s="372" t="n">
        <v>0</v>
      </c>
      <c r="J44" s="413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SUM(L14:L43)</f>
        <v/>
      </c>
      <c r="M45" s="348">
        <f>SUM(M14:M43)</f>
        <v/>
      </c>
      <c r="N45" s="349">
        <f>SUM(N14:N43)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NOV!M54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06" t="n"/>
      <c r="B61" s="297" t="n"/>
      <c r="C61" s="297" t="n"/>
      <c r="D61" s="297" t="n"/>
      <c r="E61" s="297" t="n"/>
      <c r="F61" s="297" t="n"/>
      <c r="G61" s="297" t="n"/>
      <c r="H61" s="297" t="n"/>
      <c r="I61" s="298" t="n"/>
      <c r="J61" s="280" t="n"/>
      <c r="K61" s="280" t="n"/>
      <c r="L61" s="281" t="n"/>
      <c r="M61" s="420" t="n"/>
      <c r="N61" s="421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2" customHeight="1" thickBot="1">
      <c r="A62" s="116" t="n"/>
      <c r="B62" s="312" t="n"/>
      <c r="C62" s="312" t="n"/>
      <c r="D62" s="312" t="n"/>
      <c r="E62" s="312" t="n"/>
      <c r="F62" s="312" t="n"/>
      <c r="G62" s="312" t="n"/>
      <c r="H62" s="312" t="n"/>
      <c r="I62" s="313" t="n"/>
      <c r="J62" s="281" t="n"/>
      <c r="K62" s="322" t="n"/>
      <c r="L62" s="318" t="n"/>
      <c r="M62" s="422" t="n"/>
      <c r="N62" s="318" t="n"/>
      <c r="O62" s="47" t="n"/>
      <c r="P62" s="47" t="n"/>
      <c r="Q62" s="47" t="n"/>
      <c r="R62" s="47" t="n"/>
      <c r="S62" s="47" t="n"/>
      <c r="T62" s="47" t="n"/>
      <c r="U62" s="47" t="n"/>
      <c r="V62" s="47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104" t="inlineStr">
        <is>
          <t>Colaboração do Tônio</t>
        </is>
      </c>
      <c r="M63" s="353" t="n"/>
      <c r="N63" s="353" t="n"/>
      <c r="O63" s="47" t="n"/>
    </row>
  </sheetData>
  <mergeCells count="95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A62:I62"/>
    <mergeCell ref="R12:S12"/>
    <mergeCell ref="J59:L60"/>
    <mergeCell ref="C18:E18"/>
    <mergeCell ref="J55:L56"/>
    <mergeCell ref="M49:N50"/>
    <mergeCell ref="C34:E34"/>
    <mergeCell ref="A48:I48"/>
    <mergeCell ref="C42:E42"/>
    <mergeCell ref="A59:I59"/>
    <mergeCell ref="M62:N62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L63:N63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62:L62"/>
    <mergeCell ref="J7:K7"/>
    <mergeCell ref="A58:I58"/>
    <mergeCell ref="M55:N56"/>
    <mergeCell ref="A51:I51"/>
    <mergeCell ref="A60:I60"/>
    <mergeCell ref="C29:E29"/>
    <mergeCell ref="A54:I54"/>
  </mergeCells>
  <conditionalFormatting sqref="A14:A44">
    <cfRule type="containsText" priority="62" operator="containsText" dxfId="25" stopIfTrue="1" text="F">
      <formula>NOT(ISERROR(SEARCH("F",A14)))</formula>
    </cfRule>
  </conditionalFormatting>
  <conditionalFormatting sqref="C14:E44">
    <cfRule type="cellIs" priority="60" operator="equal" dxfId="11" stopIfTrue="1">
      <formula>2</formula>
    </cfRule>
    <cfRule type="cellIs" priority="61" operator="equal" dxfId="11" stopIfTrue="1">
      <formula>8</formula>
    </cfRule>
  </conditionalFormatting>
  <conditionalFormatting sqref="L45">
    <cfRule type="cellIs" priority="55" operator="equal" dxfId="10" stopIfTrue="1">
      <formula>0</formula>
    </cfRule>
  </conditionalFormatting>
  <conditionalFormatting sqref="L14:M44">
    <cfRule type="cellIs" priority="57" operator="equal" dxfId="10" stopIfTrue="1">
      <formula>0</formula>
    </cfRule>
  </conditionalFormatting>
  <conditionalFormatting sqref="L14:N45">
    <cfRule type="cellIs" priority="56" operator="greaterThan" dxfId="10" stopIfTrue="1">
      <formula>0</formula>
    </cfRule>
    <cfRule type="cellIs" priority="58" operator="lessThan" dxfId="11" stopIfTrue="1">
      <formula>0</formula>
    </cfRule>
  </conditionalFormatting>
  <conditionalFormatting sqref="M47:N48">
    <cfRule type="cellIs" priority="51" operator="equal" dxfId="10" stopIfTrue="1">
      <formula>0</formula>
    </cfRule>
  </conditionalFormatting>
  <conditionalFormatting sqref="M47:N52 M53 M55 M57:N58 M59">
    <cfRule type="cellIs" priority="53" operator="greaterThan" dxfId="10" stopIfTrue="1">
      <formula>0</formula>
    </cfRule>
    <cfRule type="cellIs" priority="54" operator="lessThan" dxfId="11" stopIfTrue="1">
      <formula>0</formula>
    </cfRule>
  </conditionalFormatting>
  <conditionalFormatting sqref="M51:N52 M53 M55">
    <cfRule type="cellIs" priority="52" operator="equal" dxfId="14" stopIfTrue="1">
      <formula>0</formula>
    </cfRule>
  </conditionalFormatting>
  <conditionalFormatting sqref="M57:N58 M59">
    <cfRule type="cellIs" priority="48" operator="equal" dxfId="13" stopIfTrue="1">
      <formula>0</formula>
    </cfRule>
  </conditionalFormatting>
  <conditionalFormatting sqref="N14:N44">
    <cfRule type="cellIs" priority="59" operator="equal" dxfId="10" stopIfTrue="1">
      <formula>0</formula>
    </cfRule>
  </conditionalFormatting>
  <conditionalFormatting sqref="N14:N45">
    <cfRule type="cellIs" priority="63" operator="equal" dxfId="4" stopIfTrue="1">
      <formula>0</formula>
    </cfRule>
  </conditionalFormatting>
  <pageMargins left="0.1181102362204725" right="0.1181102362204725" top="0.3937007874015748" bottom="0.5905511811023623" header="0.3149606299212598" footer="0.3149606299212598"/>
  <pageSetup orientation="portrait" paperSize="9" scale="8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Agnaldo Pimentel</dc:creator>
  <dcterms:created xsi:type="dcterms:W3CDTF">2015-12-17T13:19:32Z</dcterms:created>
  <dcterms:modified xsi:type="dcterms:W3CDTF">2026-04-26T19:28:14Z</dcterms:modified>
  <cp:lastModifiedBy>Livya de Matos Lelis</cp:lastModifiedBy>
  <cp:lastPrinted>2017-11-01T16:00:52Z</cp:lastPrinted>
</cp:coreProperties>
</file>